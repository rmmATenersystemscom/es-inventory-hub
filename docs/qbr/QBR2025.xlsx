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drawings/drawing11.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24226"/>
  <mc:AlternateContent xmlns:mc="http://schemas.openxmlformats.org/markup-compatibility/2006">
    <mc:Choice Requires="x15">
      <x15ac:absPath xmlns:x15ac="http://schemas.microsoft.com/office/spreadsheetml/2010/11/ac" url="https://enersystems0.sharepoint.com/sites/owners/Shared Documents/Management/Business Development/Business Plan/Flash numbers/"/>
    </mc:Choice>
  </mc:AlternateContent>
  <xr:revisionPtr revIDLastSave="7" documentId="13_ncr:1_{1066424E-7069-4B42-BFE9-0B6E09EBCEE7}" xr6:coauthVersionLast="47" xr6:coauthVersionMax="47" xr10:uidLastSave="{55CC42A6-591E-4292-BBA7-DF7776575499}"/>
  <bookViews>
    <workbookView xWindow="-120" yWindow="-120" windowWidth="38640" windowHeight="21120" tabRatio="970" activeTab="1" xr2:uid="{00000000-000D-0000-FFFF-FFFF00000000}"/>
  </bookViews>
  <sheets>
    <sheet name="Instructions" sheetId="30" r:id="rId1"/>
    <sheet name="MonthlyINPUT" sheetId="43" r:id="rId2"/>
    <sheet name="QBR 2025" sheetId="44" r:id="rId3"/>
    <sheet name="QBRcompare" sheetId="35" r:id="rId4"/>
    <sheet name="SmartNumbers2025" sheetId="45" r:id="rId5"/>
    <sheet name="SmartNumbers2024-2025" sheetId="26" r:id="rId6"/>
    <sheet name="SmartNumbers2025byMonth" sheetId="47" r:id="rId7"/>
    <sheet name="QBR 2024" sheetId="25" r:id="rId8"/>
    <sheet name="2024byMonth" sheetId="32" r:id="rId9"/>
    <sheet name="Charts2024-2025" sheetId="37" r:id="rId10"/>
    <sheet name="Charts2025" sheetId="28" r:id="rId11"/>
    <sheet name="Charts2025byMonth" sheetId="48" r:id="rId12"/>
    <sheet name="Ranges" sheetId="29" r:id="rId13"/>
  </sheets>
  <definedNames>
    <definedName name="_xlnm.Print_Area" localSheetId="8">'2024byMonth'!$A$1:$O$45</definedName>
    <definedName name="_xlnm.Print_Area" localSheetId="9">'Charts2024-2025'!$A$1:$O$148</definedName>
    <definedName name="_xlnm.Print_Area" localSheetId="10">Charts2025!$A$1:$O$148</definedName>
    <definedName name="_xlnm.Print_Area" localSheetId="11">Charts2025byMonth!$A$1:$O$147</definedName>
    <definedName name="_xlnm.Print_Area" localSheetId="7">'QBR 2024'!$A$1:$G$46</definedName>
    <definedName name="_xlnm.Print_Area" localSheetId="2">'QBR 2025'!$A$1:$G$46</definedName>
    <definedName name="_xlnm.Print_Area" localSheetId="3">QBRcompare!$A$1:$V$45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25" i="43" l="1"/>
  <c r="K23" i="43" s="1"/>
  <c r="K27" i="43" s="1"/>
  <c r="L25" i="43"/>
  <c r="L23" i="43" s="1"/>
  <c r="L27" i="43" s="1"/>
  <c r="L17" i="43"/>
  <c r="L16" i="43"/>
  <c r="L18" i="43" s="1"/>
  <c r="M12" i="43"/>
  <c r="L12" i="43"/>
  <c r="K12" i="43"/>
  <c r="J12" i="43"/>
  <c r="I12" i="43"/>
  <c r="H12" i="43"/>
  <c r="K18" i="43"/>
  <c r="K17" i="43"/>
  <c r="K16" i="43"/>
  <c r="F27" i="43"/>
  <c r="E26" i="43"/>
  <c r="D26" i="43"/>
  <c r="J27" i="43" l="1"/>
  <c r="J18" i="43"/>
  <c r="J17" i="43"/>
  <c r="I27" i="43"/>
  <c r="J23" i="43"/>
  <c r="K45" i="43"/>
  <c r="J25" i="43" l="1"/>
  <c r="J16" i="43"/>
  <c r="I28" i="43"/>
  <c r="I18" i="43"/>
  <c r="H27" i="43"/>
  <c r="I17" i="43"/>
  <c r="I23" i="43"/>
  <c r="I25" i="43"/>
  <c r="I16" i="43"/>
  <c r="H17" i="43"/>
  <c r="F23" i="43"/>
  <c r="G27" i="43"/>
  <c r="H18" i="43"/>
  <c r="H23" i="43"/>
  <c r="G23" i="43"/>
  <c r="E27" i="43"/>
  <c r="H25" i="43" l="1"/>
  <c r="H16" i="43"/>
  <c r="H24" i="43"/>
  <c r="G12" i="43"/>
  <c r="G25" i="43" l="1"/>
  <c r="G18" i="43"/>
  <c r="G17" i="43"/>
  <c r="G16" i="43"/>
  <c r="F17" i="43"/>
  <c r="F18" i="43" s="1"/>
  <c r="F25" i="43"/>
  <c r="F16" i="43"/>
  <c r="G44" i="43"/>
  <c r="D27" i="43"/>
  <c r="E23" i="43"/>
  <c r="F12" i="43"/>
  <c r="E12" i="43"/>
  <c r="E18" i="43"/>
  <c r="E17" i="43"/>
  <c r="C27" i="43"/>
  <c r="E24" i="43"/>
  <c r="D24" i="43"/>
  <c r="C24" i="43"/>
  <c r="D23" i="43" l="1"/>
  <c r="E25" i="43"/>
  <c r="E16" i="43"/>
  <c r="D17" i="43"/>
  <c r="D18" i="43" s="1"/>
  <c r="D25" i="43"/>
  <c r="D16" i="43"/>
  <c r="D12" i="43"/>
  <c r="C12" i="43"/>
  <c r="C25" i="43" l="1"/>
  <c r="C23" i="43" s="1"/>
  <c r="D49" i="43"/>
  <c r="E49" i="43"/>
  <c r="F49" i="43"/>
  <c r="G49" i="43"/>
  <c r="H49" i="43"/>
  <c r="I49" i="43"/>
  <c r="J49" i="43"/>
  <c r="K49" i="43"/>
  <c r="L49" i="43"/>
  <c r="M49" i="43"/>
  <c r="N49" i="43"/>
  <c r="C18" i="43"/>
  <c r="C17" i="43"/>
  <c r="C16" i="43"/>
  <c r="C49" i="43" l="1"/>
  <c r="H45" i="32"/>
  <c r="O45" i="32" s="1"/>
  <c r="C44" i="32"/>
  <c r="O44" i="32" s="1"/>
  <c r="O43" i="32"/>
  <c r="O42" i="32"/>
  <c r="O41" i="32"/>
  <c r="H36" i="32"/>
  <c r="G36" i="32"/>
  <c r="F36" i="32"/>
  <c r="E36" i="32"/>
  <c r="D36" i="32"/>
  <c r="C36" i="32"/>
  <c r="G27" i="32"/>
  <c r="G28" i="32" s="1"/>
  <c r="E26" i="32"/>
  <c r="D26" i="32"/>
  <c r="C26" i="32"/>
  <c r="O26" i="32" s="1"/>
  <c r="N25" i="32"/>
  <c r="N23" i="32" s="1"/>
  <c r="M25" i="32"/>
  <c r="L25" i="32"/>
  <c r="L23" i="32" s="1"/>
  <c r="K25" i="32"/>
  <c r="K23" i="32" s="1"/>
  <c r="J25" i="32"/>
  <c r="J23" i="32" s="1"/>
  <c r="I25" i="32"/>
  <c r="I23" i="32" s="1"/>
  <c r="H25" i="32"/>
  <c r="H23" i="32" s="1"/>
  <c r="G25" i="32"/>
  <c r="F25" i="32"/>
  <c r="E25" i="32"/>
  <c r="D25" i="32"/>
  <c r="D23" i="32" s="1"/>
  <c r="C25" i="32"/>
  <c r="O24" i="32"/>
  <c r="M23" i="32"/>
  <c r="G23" i="32"/>
  <c r="F23" i="32"/>
  <c r="F27" i="32" s="1"/>
  <c r="F28" i="32" s="1"/>
  <c r="E23" i="32"/>
  <c r="E27" i="32" s="1"/>
  <c r="E28" i="32" s="1"/>
  <c r="O19" i="32"/>
  <c r="E18" i="32"/>
  <c r="N17" i="32"/>
  <c r="M17" i="32"/>
  <c r="L17" i="32"/>
  <c r="L18" i="32" s="1"/>
  <c r="K17" i="32"/>
  <c r="J17" i="32"/>
  <c r="I17" i="32"/>
  <c r="H17" i="32"/>
  <c r="G17" i="32"/>
  <c r="F17" i="32"/>
  <c r="F18" i="32" s="1"/>
  <c r="E17" i="32"/>
  <c r="D17" i="32"/>
  <c r="D18" i="32" s="1"/>
  <c r="C17" i="32"/>
  <c r="N16" i="32"/>
  <c r="M16" i="32"/>
  <c r="L16" i="32"/>
  <c r="K16" i="32"/>
  <c r="J16" i="32"/>
  <c r="J18" i="32" s="1"/>
  <c r="I16" i="32"/>
  <c r="H16" i="32"/>
  <c r="G16" i="32"/>
  <c r="F16" i="32"/>
  <c r="E16" i="32"/>
  <c r="E20" i="32" s="1"/>
  <c r="D16" i="32"/>
  <c r="D20" i="32" s="1"/>
  <c r="C16" i="32"/>
  <c r="O15" i="32"/>
  <c r="N12" i="32"/>
  <c r="M12" i="32"/>
  <c r="L12" i="32"/>
  <c r="K12" i="32"/>
  <c r="J12" i="32"/>
  <c r="I12" i="32"/>
  <c r="H12" i="32"/>
  <c r="G12" i="32"/>
  <c r="F12" i="32"/>
  <c r="E12" i="32"/>
  <c r="D12" i="32"/>
  <c r="C12" i="32"/>
  <c r="D27" i="32" l="1"/>
  <c r="D28" i="32" s="1"/>
  <c r="D31" i="32" s="1"/>
  <c r="O25" i="32"/>
  <c r="F20" i="32"/>
  <c r="G18" i="32"/>
  <c r="I18" i="32"/>
  <c r="C23" i="32"/>
  <c r="C27" i="32" s="1"/>
  <c r="K18" i="32"/>
  <c r="K20" i="32" s="1"/>
  <c r="M18" i="32"/>
  <c r="M20" i="32" s="1"/>
  <c r="L20" i="32"/>
  <c r="C18" i="32"/>
  <c r="C20" i="32" s="1"/>
  <c r="L27" i="32"/>
  <c r="L28" i="32" s="1"/>
  <c r="F31" i="32"/>
  <c r="H27" i="32"/>
  <c r="H28" i="32"/>
  <c r="I27" i="32"/>
  <c r="I28" i="32" s="1"/>
  <c r="J27" i="32"/>
  <c r="J28" i="32"/>
  <c r="M28" i="32"/>
  <c r="K27" i="32"/>
  <c r="I20" i="32"/>
  <c r="O16" i="32"/>
  <c r="J20" i="32"/>
  <c r="O17" i="32"/>
  <c r="N18" i="32"/>
  <c r="N20" i="32" s="1"/>
  <c r="M27" i="32"/>
  <c r="O23" i="32"/>
  <c r="G20" i="32"/>
  <c r="E31" i="32"/>
  <c r="N27" i="32"/>
  <c r="H18" i="32"/>
  <c r="H20" i="32" s="1"/>
  <c r="C28" i="32" l="1"/>
  <c r="C31" i="32" s="1"/>
  <c r="L31" i="32"/>
  <c r="H31" i="32"/>
  <c r="N28" i="32"/>
  <c r="J31" i="32"/>
  <c r="G31" i="32"/>
  <c r="M31" i="32"/>
  <c r="O18" i="32"/>
  <c r="O27" i="32"/>
  <c r="O28" i="32" s="1"/>
  <c r="K28" i="32"/>
  <c r="O29" i="32" s="1"/>
  <c r="I31" i="32"/>
  <c r="O20" i="32"/>
  <c r="O21" i="32" l="1"/>
  <c r="K31" i="32"/>
  <c r="N31" i="32"/>
  <c r="O31" i="32" l="1"/>
  <c r="O32" i="32"/>
  <c r="O24" i="43" l="1"/>
  <c r="F41" i="25" l="1"/>
  <c r="F42" i="25"/>
  <c r="F43" i="25"/>
  <c r="F44" i="25"/>
  <c r="F45" i="25"/>
  <c r="F40" i="25"/>
  <c r="E41" i="25"/>
  <c r="E42" i="25"/>
  <c r="E43" i="25"/>
  <c r="E44" i="25"/>
  <c r="E45" i="25"/>
  <c r="E40" i="25"/>
  <c r="D41" i="25"/>
  <c r="D42" i="25"/>
  <c r="D43" i="25"/>
  <c r="D44" i="25"/>
  <c r="D45" i="25"/>
  <c r="D40" i="25"/>
  <c r="C41" i="25"/>
  <c r="C42" i="25"/>
  <c r="C43" i="25"/>
  <c r="C44" i="25"/>
  <c r="C45" i="25"/>
  <c r="C40" i="25"/>
  <c r="F35" i="25"/>
  <c r="F36" i="25"/>
  <c r="F37" i="25"/>
  <c r="F34" i="25"/>
  <c r="E35" i="25"/>
  <c r="E36" i="25"/>
  <c r="E37" i="25"/>
  <c r="E34" i="25"/>
  <c r="D35" i="25"/>
  <c r="D36" i="25"/>
  <c r="D37" i="25"/>
  <c r="D34" i="25"/>
  <c r="C35" i="25"/>
  <c r="C36" i="25"/>
  <c r="C37" i="25"/>
  <c r="C34" i="25"/>
  <c r="O42" i="43" l="1"/>
  <c r="O43" i="43"/>
  <c r="O44" i="43"/>
  <c r="O45" i="43"/>
  <c r="C12" i="25" l="1"/>
  <c r="F25" i="25" l="1"/>
  <c r="F26" i="25"/>
  <c r="F27" i="25"/>
  <c r="E25" i="25"/>
  <c r="E26" i="25"/>
  <c r="E27" i="25"/>
  <c r="D25" i="25"/>
  <c r="D26" i="25"/>
  <c r="D27" i="25"/>
  <c r="D24" i="25"/>
  <c r="E24" i="25"/>
  <c r="C27" i="25"/>
  <c r="C26" i="25"/>
  <c r="C25" i="25"/>
  <c r="G25" i="25" l="1"/>
  <c r="N55" i="43" l="1"/>
  <c r="M55" i="43"/>
  <c r="L55" i="43"/>
  <c r="K55" i="43"/>
  <c r="J55" i="43"/>
  <c r="I55" i="43"/>
  <c r="H55" i="43"/>
  <c r="G55" i="43"/>
  <c r="F55" i="43"/>
  <c r="E55" i="43"/>
  <c r="D55" i="43"/>
  <c r="C9" i="25"/>
  <c r="D9" i="25"/>
  <c r="E9" i="25"/>
  <c r="F9" i="25"/>
  <c r="C10" i="25"/>
  <c r="D10" i="25"/>
  <c r="E10" i="25"/>
  <c r="F10" i="25"/>
  <c r="G10" i="25" s="1"/>
  <c r="C11" i="25"/>
  <c r="D11" i="25"/>
  <c r="E11" i="25"/>
  <c r="F11" i="25"/>
  <c r="D12" i="25"/>
  <c r="E12" i="25"/>
  <c r="F12" i="25"/>
  <c r="C15" i="25"/>
  <c r="D15" i="25"/>
  <c r="E15" i="25"/>
  <c r="F15" i="25"/>
  <c r="C16" i="25"/>
  <c r="D16" i="25"/>
  <c r="E16" i="25"/>
  <c r="F16" i="25"/>
  <c r="C17" i="25"/>
  <c r="D17" i="25"/>
  <c r="E17" i="25"/>
  <c r="F17" i="25"/>
  <c r="C18" i="25"/>
  <c r="D18" i="25"/>
  <c r="E18" i="25"/>
  <c r="F18" i="25"/>
  <c r="C19" i="25"/>
  <c r="D19" i="25"/>
  <c r="E19" i="25"/>
  <c r="F19" i="25"/>
  <c r="C23" i="25"/>
  <c r="D23" i="25"/>
  <c r="E23" i="25"/>
  <c r="F23" i="25"/>
  <c r="C24" i="25"/>
  <c r="F24" i="25"/>
  <c r="G41" i="25"/>
  <c r="I29" i="47"/>
  <c r="G19" i="25" l="1"/>
  <c r="F20" i="25"/>
  <c r="G17" i="25"/>
  <c r="G12" i="25"/>
  <c r="G24" i="25"/>
  <c r="G9" i="25"/>
  <c r="D20" i="25"/>
  <c r="D28" i="25"/>
  <c r="D31" i="25" s="1"/>
  <c r="G40" i="25"/>
  <c r="G43" i="25"/>
  <c r="F28" i="25"/>
  <c r="G27" i="25"/>
  <c r="E28" i="25"/>
  <c r="E20" i="25"/>
  <c r="G23" i="25"/>
  <c r="G42" i="25"/>
  <c r="G18" i="25"/>
  <c r="G15" i="25"/>
  <c r="G45" i="25"/>
  <c r="G44" i="25"/>
  <c r="C28" i="25"/>
  <c r="G26" i="25"/>
  <c r="G16" i="25"/>
  <c r="G11" i="25"/>
  <c r="C20" i="25"/>
  <c r="N29" i="43"/>
  <c r="C29" i="43"/>
  <c r="D29" i="43"/>
  <c r="E31" i="25" l="1"/>
  <c r="H32" i="43"/>
  <c r="H29" i="43"/>
  <c r="K32" i="43"/>
  <c r="K29" i="43"/>
  <c r="F31" i="25"/>
  <c r="G28" i="25"/>
  <c r="G20" i="25"/>
  <c r="C31" i="25"/>
  <c r="N32" i="43"/>
  <c r="E29" i="43"/>
  <c r="F24" i="44"/>
  <c r="E23" i="44"/>
  <c r="E24" i="44"/>
  <c r="D24" i="44"/>
  <c r="C24" i="44"/>
  <c r="M32" i="43" l="1"/>
  <c r="M29" i="43"/>
  <c r="I32" i="43"/>
  <c r="I29" i="43"/>
  <c r="F32" i="43"/>
  <c r="F29" i="43"/>
  <c r="J32" i="43"/>
  <c r="J29" i="43"/>
  <c r="G32" i="43"/>
  <c r="G29" i="43"/>
  <c r="E32" i="43"/>
  <c r="D32" i="43"/>
  <c r="G31" i="25"/>
  <c r="B15" i="26"/>
  <c r="G24" i="44"/>
  <c r="L32" i="43" l="1"/>
  <c r="L29" i="43"/>
  <c r="C32" i="43"/>
  <c r="N54" i="43" l="1"/>
  <c r="M21" i="43" l="1"/>
  <c r="N21" i="43"/>
  <c r="F10" i="47" l="1"/>
  <c r="C71" i="43" l="1"/>
  <c r="C58" i="43" l="1"/>
  <c r="M54" i="43" l="1"/>
  <c r="L54" i="43" l="1"/>
  <c r="K54" i="43" l="1"/>
  <c r="J54" i="43" l="1"/>
  <c r="I54" i="43"/>
  <c r="H54" i="43" l="1"/>
  <c r="G54" i="43" l="1"/>
  <c r="F54" i="43" l="1"/>
  <c r="E54" i="43"/>
  <c r="C57" i="43"/>
  <c r="D54" i="43" l="1"/>
  <c r="C54" i="43" l="1"/>
  <c r="O41" i="43" l="1"/>
  <c r="K48" i="43" l="1"/>
  <c r="L48" i="43"/>
  <c r="M48" i="43"/>
  <c r="N48" i="43"/>
  <c r="J48" i="43" l="1"/>
  <c r="I48" i="43" l="1"/>
  <c r="H48" i="43" l="1"/>
  <c r="G48" i="43"/>
  <c r="F48" i="43" l="1"/>
  <c r="N28" i="43" l="1"/>
  <c r="M28" i="43"/>
  <c r="L28" i="43"/>
  <c r="K28" i="43"/>
  <c r="J28" i="43"/>
  <c r="H28" i="43"/>
  <c r="G28" i="43"/>
  <c r="F28" i="43"/>
  <c r="E48" i="43" l="1"/>
  <c r="O25" i="43" l="1"/>
  <c r="E28" i="43"/>
  <c r="O23" i="43" l="1"/>
  <c r="C28" i="43"/>
  <c r="C48" i="43"/>
  <c r="D20" i="43"/>
  <c r="D48" i="43"/>
  <c r="D28" i="43"/>
  <c r="C25" i="44"/>
  <c r="C24" i="35" s="1"/>
  <c r="D25" i="44"/>
  <c r="G24" i="35" s="1"/>
  <c r="F25" i="44"/>
  <c r="O24" i="35" s="1"/>
  <c r="O26" i="43"/>
  <c r="C27" i="44"/>
  <c r="E27" i="44"/>
  <c r="K26" i="35" s="1"/>
  <c r="F18" i="44"/>
  <c r="O18" i="35" s="1"/>
  <c r="F15" i="44"/>
  <c r="O15" i="35" s="1"/>
  <c r="F17" i="44"/>
  <c r="O17" i="35" s="1"/>
  <c r="F19" i="44"/>
  <c r="O19" i="35" s="1"/>
  <c r="F26" i="44"/>
  <c r="O25" i="35" s="1"/>
  <c r="E26" i="44"/>
  <c r="K25" i="35" s="1"/>
  <c r="E15" i="44"/>
  <c r="K15" i="35" s="1"/>
  <c r="E17" i="44"/>
  <c r="K17" i="35" s="1"/>
  <c r="E19" i="44"/>
  <c r="K19" i="35" s="1"/>
  <c r="D26" i="44"/>
  <c r="G25" i="35" s="1"/>
  <c r="D15" i="44"/>
  <c r="G15" i="35" s="1"/>
  <c r="F19" i="47"/>
  <c r="D17" i="44"/>
  <c r="G17" i="35" s="1"/>
  <c r="D19" i="44"/>
  <c r="G19" i="35" s="1"/>
  <c r="C15" i="44"/>
  <c r="C15" i="35" s="1"/>
  <c r="C17" i="44"/>
  <c r="C17" i="35" s="1"/>
  <c r="C19" i="44"/>
  <c r="C19" i="35" s="1"/>
  <c r="C26" i="44"/>
  <c r="C25" i="35" s="1"/>
  <c r="E12" i="44"/>
  <c r="K12" i="35" s="1"/>
  <c r="F11" i="47"/>
  <c r="H18" i="35"/>
  <c r="P12" i="35"/>
  <c r="L12" i="35"/>
  <c r="H12" i="35"/>
  <c r="D12" i="35"/>
  <c r="C12" i="44"/>
  <c r="C12" i="35" s="1"/>
  <c r="N52" i="29"/>
  <c r="M52" i="29"/>
  <c r="L52" i="29"/>
  <c r="K52" i="29"/>
  <c r="N51" i="29"/>
  <c r="M51" i="29"/>
  <c r="L51" i="29"/>
  <c r="K51" i="29"/>
  <c r="N47" i="29"/>
  <c r="M47" i="29"/>
  <c r="L47" i="29"/>
  <c r="K47" i="29"/>
  <c r="N46" i="29"/>
  <c r="M46" i="29"/>
  <c r="L46" i="29"/>
  <c r="K46" i="29"/>
  <c r="N44" i="29"/>
  <c r="M44" i="29"/>
  <c r="L44" i="29"/>
  <c r="K44" i="29"/>
  <c r="N43" i="29"/>
  <c r="M43" i="29"/>
  <c r="L43" i="29"/>
  <c r="K43" i="29"/>
  <c r="N42" i="29"/>
  <c r="M42" i="29"/>
  <c r="L42" i="29"/>
  <c r="K42" i="29"/>
  <c r="N40" i="29"/>
  <c r="M40" i="29"/>
  <c r="L40" i="29"/>
  <c r="K40" i="29"/>
  <c r="N39" i="29"/>
  <c r="M39" i="29"/>
  <c r="L39" i="29"/>
  <c r="K39" i="29"/>
  <c r="N38" i="29"/>
  <c r="M38" i="29"/>
  <c r="L38" i="29"/>
  <c r="K38" i="29"/>
  <c r="M33" i="47"/>
  <c r="L33" i="47"/>
  <c r="K33" i="47"/>
  <c r="J33" i="47"/>
  <c r="I33" i="47"/>
  <c r="H33" i="47"/>
  <c r="G33" i="47"/>
  <c r="F33" i="47"/>
  <c r="E33" i="47"/>
  <c r="D33" i="47"/>
  <c r="C33" i="47"/>
  <c r="B33" i="47"/>
  <c r="M32" i="47"/>
  <c r="L32" i="47"/>
  <c r="K32" i="47"/>
  <c r="J32" i="47"/>
  <c r="I32" i="47"/>
  <c r="H32" i="47"/>
  <c r="G32" i="47"/>
  <c r="F32" i="47"/>
  <c r="E32" i="47"/>
  <c r="D32" i="47"/>
  <c r="C32" i="47"/>
  <c r="B32" i="47"/>
  <c r="M31" i="47"/>
  <c r="L31" i="47"/>
  <c r="K31" i="47"/>
  <c r="J31" i="47"/>
  <c r="I31" i="47"/>
  <c r="H31" i="47"/>
  <c r="G31" i="47"/>
  <c r="F31" i="47"/>
  <c r="E31" i="47"/>
  <c r="D31" i="47"/>
  <c r="C31" i="47"/>
  <c r="B31" i="47"/>
  <c r="M29" i="47"/>
  <c r="L29" i="47"/>
  <c r="K29" i="47"/>
  <c r="J29" i="47"/>
  <c r="H29" i="47"/>
  <c r="G29" i="47"/>
  <c r="F29" i="47"/>
  <c r="E29" i="47"/>
  <c r="D29" i="47"/>
  <c r="C29" i="47"/>
  <c r="B29" i="47"/>
  <c r="M28" i="47"/>
  <c r="L28" i="47"/>
  <c r="K28" i="47"/>
  <c r="J28" i="47"/>
  <c r="I28" i="47"/>
  <c r="H28" i="47"/>
  <c r="G28" i="47"/>
  <c r="F28" i="47"/>
  <c r="E28" i="47"/>
  <c r="D28" i="47"/>
  <c r="C28" i="47"/>
  <c r="B28" i="47"/>
  <c r="M25" i="47"/>
  <c r="L25" i="47"/>
  <c r="H25" i="47"/>
  <c r="G25" i="47"/>
  <c r="E25" i="47"/>
  <c r="D25" i="47"/>
  <c r="C25" i="47"/>
  <c r="M24" i="47"/>
  <c r="L24" i="47"/>
  <c r="K24" i="47"/>
  <c r="H24" i="47"/>
  <c r="G24" i="47"/>
  <c r="E24" i="47"/>
  <c r="D24" i="47"/>
  <c r="C24" i="47"/>
  <c r="M23" i="47"/>
  <c r="L23" i="47"/>
  <c r="K23" i="47"/>
  <c r="I23" i="47"/>
  <c r="H23" i="47"/>
  <c r="G23" i="47"/>
  <c r="E23" i="47"/>
  <c r="D23" i="47"/>
  <c r="C23" i="47"/>
  <c r="M22" i="47"/>
  <c r="L22" i="47"/>
  <c r="K22" i="47"/>
  <c r="J22" i="47"/>
  <c r="I22" i="47"/>
  <c r="H22" i="47"/>
  <c r="G22" i="47"/>
  <c r="E22" i="47"/>
  <c r="D22" i="47"/>
  <c r="C22" i="47"/>
  <c r="B22" i="47"/>
  <c r="M19" i="47"/>
  <c r="L19" i="47"/>
  <c r="K19" i="47"/>
  <c r="I19" i="47"/>
  <c r="H19" i="47"/>
  <c r="G19" i="47"/>
  <c r="E19" i="47"/>
  <c r="D19" i="47"/>
  <c r="C19" i="47"/>
  <c r="M13" i="47"/>
  <c r="L13" i="47"/>
  <c r="K13" i="47"/>
  <c r="J13" i="47"/>
  <c r="I13" i="47"/>
  <c r="H13" i="47"/>
  <c r="G13" i="47"/>
  <c r="F13" i="47"/>
  <c r="E13" i="47"/>
  <c r="D13" i="47"/>
  <c r="C13" i="47"/>
  <c r="B13" i="47"/>
  <c r="M12" i="47"/>
  <c r="L12" i="47"/>
  <c r="K12" i="47"/>
  <c r="J12" i="47"/>
  <c r="I12" i="47"/>
  <c r="H12" i="47"/>
  <c r="G12" i="47"/>
  <c r="F12" i="47"/>
  <c r="E12" i="47"/>
  <c r="D12" i="47"/>
  <c r="C12" i="47"/>
  <c r="B12" i="47"/>
  <c r="M11" i="47"/>
  <c r="L11" i="47"/>
  <c r="K11" i="47"/>
  <c r="J11" i="47"/>
  <c r="I11" i="47"/>
  <c r="H11" i="47"/>
  <c r="G11" i="47"/>
  <c r="E11" i="47"/>
  <c r="D11" i="47"/>
  <c r="C11" i="47"/>
  <c r="B11" i="47"/>
  <c r="M10" i="47"/>
  <c r="L10" i="47"/>
  <c r="K10" i="47"/>
  <c r="J10" i="47"/>
  <c r="I10" i="47"/>
  <c r="H10" i="47"/>
  <c r="G10" i="47"/>
  <c r="E10" i="47"/>
  <c r="D10" i="47"/>
  <c r="C10" i="47"/>
  <c r="B10" i="47"/>
  <c r="M9" i="47"/>
  <c r="L9" i="47"/>
  <c r="K9" i="47"/>
  <c r="J9" i="47"/>
  <c r="I9" i="47"/>
  <c r="H9" i="47"/>
  <c r="G9" i="47"/>
  <c r="F9" i="47"/>
  <c r="E9" i="47"/>
  <c r="D9" i="47"/>
  <c r="C9" i="47"/>
  <c r="B9" i="47"/>
  <c r="M8" i="47"/>
  <c r="L8" i="47"/>
  <c r="K8" i="47"/>
  <c r="J8" i="47"/>
  <c r="I8" i="47"/>
  <c r="H8" i="47"/>
  <c r="G8" i="47"/>
  <c r="F8" i="47"/>
  <c r="E8" i="47"/>
  <c r="D8" i="47"/>
  <c r="C8" i="47"/>
  <c r="B8" i="47"/>
  <c r="C34" i="44"/>
  <c r="C33" i="35" s="1"/>
  <c r="D34" i="44"/>
  <c r="G33" i="35" s="1"/>
  <c r="E34" i="44"/>
  <c r="F34" i="44"/>
  <c r="O33" i="35" s="1"/>
  <c r="O17" i="43"/>
  <c r="C35" i="44"/>
  <c r="C34" i="35" s="1"/>
  <c r="C11" i="44"/>
  <c r="C11" i="35" s="1"/>
  <c r="C9" i="44"/>
  <c r="P17" i="35"/>
  <c r="L17" i="35"/>
  <c r="H17" i="35"/>
  <c r="C36" i="44"/>
  <c r="C35" i="35" s="1"/>
  <c r="D36" i="44"/>
  <c r="G35" i="35" s="1"/>
  <c r="F37" i="44"/>
  <c r="O36" i="35" s="1"/>
  <c r="F36" i="44"/>
  <c r="O35" i="35" s="1"/>
  <c r="F35" i="44"/>
  <c r="O34" i="35" s="1"/>
  <c r="E37" i="44"/>
  <c r="K36" i="35" s="1"/>
  <c r="E36" i="44"/>
  <c r="K35" i="35" s="1"/>
  <c r="E35" i="44"/>
  <c r="K34" i="35" s="1"/>
  <c r="D37" i="44"/>
  <c r="G36" i="35" s="1"/>
  <c r="D35" i="44"/>
  <c r="G34" i="35" s="1"/>
  <c r="C37" i="44"/>
  <c r="C36" i="35" s="1"/>
  <c r="F45" i="44"/>
  <c r="E29" i="45" s="1"/>
  <c r="I29" i="26" s="1"/>
  <c r="E45" i="44"/>
  <c r="K44" i="35" s="1"/>
  <c r="D45" i="44"/>
  <c r="C45" i="44"/>
  <c r="B29" i="45" s="1"/>
  <c r="F29" i="26" s="1"/>
  <c r="F44" i="44"/>
  <c r="E44" i="44"/>
  <c r="K43" i="35" s="1"/>
  <c r="D44" i="44"/>
  <c r="C44" i="44"/>
  <c r="B28" i="45" s="1"/>
  <c r="F43" i="44"/>
  <c r="O42" i="35" s="1"/>
  <c r="E43" i="44"/>
  <c r="K42" i="35" s="1"/>
  <c r="D43" i="44"/>
  <c r="G42" i="35" s="1"/>
  <c r="C43" i="44"/>
  <c r="F42" i="44"/>
  <c r="O41" i="35" s="1"/>
  <c r="E42" i="44"/>
  <c r="K41" i="35" s="1"/>
  <c r="D42" i="44"/>
  <c r="G41" i="35" s="1"/>
  <c r="C42" i="44"/>
  <c r="C41" i="35" s="1"/>
  <c r="F41" i="44"/>
  <c r="O40" i="35" s="1"/>
  <c r="E41" i="44"/>
  <c r="D41" i="44"/>
  <c r="C41" i="44"/>
  <c r="B32" i="45" s="1"/>
  <c r="F32" i="26" s="1"/>
  <c r="F40" i="44"/>
  <c r="O39" i="35" s="1"/>
  <c r="E40" i="44"/>
  <c r="K39" i="35" s="1"/>
  <c r="D40" i="44"/>
  <c r="G39" i="35" s="1"/>
  <c r="C40" i="44"/>
  <c r="F11" i="44"/>
  <c r="O11" i="35" s="1"/>
  <c r="E11" i="44"/>
  <c r="D11" i="44"/>
  <c r="G11" i="35" s="1"/>
  <c r="F10" i="44"/>
  <c r="E10" i="44"/>
  <c r="D10" i="44"/>
  <c r="G10" i="35" s="1"/>
  <c r="C10" i="44"/>
  <c r="F9" i="44"/>
  <c r="O9" i="35" s="1"/>
  <c r="E9" i="44"/>
  <c r="K9" i="35" s="1"/>
  <c r="D9" i="44"/>
  <c r="G9" i="35" s="1"/>
  <c r="M20" i="43"/>
  <c r="L20" i="43"/>
  <c r="J20" i="43"/>
  <c r="I20" i="43"/>
  <c r="O19" i="43"/>
  <c r="N20" i="43"/>
  <c r="H20" i="43"/>
  <c r="O15" i="43"/>
  <c r="O16" i="43"/>
  <c r="J44" i="29"/>
  <c r="J43" i="29"/>
  <c r="J42" i="29"/>
  <c r="J40" i="29"/>
  <c r="J39" i="29"/>
  <c r="J38" i="29"/>
  <c r="P24" i="35"/>
  <c r="L21" i="43"/>
  <c r="L23" i="35"/>
  <c r="I44" i="29"/>
  <c r="I43" i="29"/>
  <c r="I42" i="29"/>
  <c r="I40" i="29"/>
  <c r="I39" i="29"/>
  <c r="I38" i="29"/>
  <c r="I21" i="43"/>
  <c r="P42" i="35"/>
  <c r="P41" i="35"/>
  <c r="P40" i="35"/>
  <c r="P39" i="35"/>
  <c r="P35" i="35"/>
  <c r="P25" i="35"/>
  <c r="P23" i="35"/>
  <c r="P19" i="35"/>
  <c r="P16" i="35"/>
  <c r="P10" i="35"/>
  <c r="L44" i="35"/>
  <c r="L43" i="35"/>
  <c r="L42" i="35"/>
  <c r="L41" i="35"/>
  <c r="L39" i="35"/>
  <c r="L36" i="35"/>
  <c r="L35" i="35"/>
  <c r="L34" i="35"/>
  <c r="L33" i="35"/>
  <c r="L25" i="35"/>
  <c r="L19" i="35"/>
  <c r="L15" i="35"/>
  <c r="D10" i="26"/>
  <c r="H44" i="29"/>
  <c r="G44" i="29"/>
  <c r="H43" i="29"/>
  <c r="G43" i="29"/>
  <c r="H42" i="29"/>
  <c r="G42" i="29"/>
  <c r="H40" i="29"/>
  <c r="G40" i="29"/>
  <c r="H39" i="29"/>
  <c r="G39" i="29"/>
  <c r="H38" i="29"/>
  <c r="G38" i="29"/>
  <c r="H36" i="35"/>
  <c r="H35" i="35"/>
  <c r="H34" i="35"/>
  <c r="H42" i="35"/>
  <c r="H41" i="35"/>
  <c r="C32" i="26"/>
  <c r="H23" i="35"/>
  <c r="H16" i="35"/>
  <c r="C11" i="26"/>
  <c r="H10" i="35"/>
  <c r="C10" i="26"/>
  <c r="H43" i="35"/>
  <c r="H19" i="35"/>
  <c r="B29" i="26"/>
  <c r="B28" i="26"/>
  <c r="D42" i="35"/>
  <c r="D41" i="35"/>
  <c r="D39" i="35"/>
  <c r="D36" i="35"/>
  <c r="D35" i="35"/>
  <c r="D33" i="35"/>
  <c r="D25" i="35"/>
  <c r="D23" i="35"/>
  <c r="D19" i="35"/>
  <c r="D10" i="35"/>
  <c r="D15" i="35"/>
  <c r="F21" i="43"/>
  <c r="C43" i="29"/>
  <c r="D43" i="29"/>
  <c r="E43" i="29"/>
  <c r="F43" i="29"/>
  <c r="C44" i="29"/>
  <c r="D44" i="29"/>
  <c r="E44" i="29"/>
  <c r="F44" i="29"/>
  <c r="D42" i="29"/>
  <c r="E42" i="29"/>
  <c r="F42" i="29"/>
  <c r="C42" i="29"/>
  <c r="D38" i="29"/>
  <c r="E38" i="29"/>
  <c r="F38" i="29"/>
  <c r="D39" i="29"/>
  <c r="E39" i="29"/>
  <c r="F39" i="29"/>
  <c r="D40" i="29"/>
  <c r="E40" i="29"/>
  <c r="F40" i="29"/>
  <c r="C39" i="29"/>
  <c r="C40" i="29"/>
  <c r="C38" i="29"/>
  <c r="D63" i="43" l="1"/>
  <c r="D74" i="43"/>
  <c r="N74" i="43"/>
  <c r="N63" i="43"/>
  <c r="M63" i="43"/>
  <c r="M74" i="43"/>
  <c r="L63" i="43"/>
  <c r="L74" i="43"/>
  <c r="J74" i="43"/>
  <c r="J63" i="43"/>
  <c r="I66" i="43"/>
  <c r="I74" i="43"/>
  <c r="I63" i="43"/>
  <c r="H63" i="43"/>
  <c r="H74" i="43"/>
  <c r="D68" i="43"/>
  <c r="G18" i="47"/>
  <c r="H66" i="43"/>
  <c r="M18" i="47"/>
  <c r="N66" i="43"/>
  <c r="C18" i="47"/>
  <c r="D66" i="43"/>
  <c r="I18" i="47"/>
  <c r="J66" i="43"/>
  <c r="K18" i="47"/>
  <c r="L66" i="43"/>
  <c r="L18" i="47"/>
  <c r="M66" i="43"/>
  <c r="L11" i="35"/>
  <c r="D11" i="26"/>
  <c r="D9" i="35"/>
  <c r="B10" i="26"/>
  <c r="P9" i="35"/>
  <c r="Q9" i="35" s="1"/>
  <c r="R9" i="35" s="1"/>
  <c r="E10" i="26"/>
  <c r="D11" i="35"/>
  <c r="E11" i="35" s="1"/>
  <c r="F11" i="35" s="1"/>
  <c r="B11" i="26"/>
  <c r="P11" i="35"/>
  <c r="Q11" i="35" s="1"/>
  <c r="R11" i="35" s="1"/>
  <c r="E11" i="26"/>
  <c r="B30" i="47"/>
  <c r="D44" i="35"/>
  <c r="G17" i="44"/>
  <c r="C12" i="26"/>
  <c r="H30" i="47"/>
  <c r="G21" i="43"/>
  <c r="K30" i="47"/>
  <c r="D31" i="26"/>
  <c r="Q24" i="35"/>
  <c r="R24" i="35" s="1"/>
  <c r="H21" i="43"/>
  <c r="M42" i="35"/>
  <c r="D28" i="26"/>
  <c r="E12" i="45"/>
  <c r="I12" i="26" s="1"/>
  <c r="E36" i="35"/>
  <c r="F36" i="35" s="1"/>
  <c r="J30" i="47"/>
  <c r="D30" i="47"/>
  <c r="L30" i="47"/>
  <c r="Q17" i="35"/>
  <c r="R17" i="35" s="1"/>
  <c r="B33" i="26"/>
  <c r="I30" i="47"/>
  <c r="D11" i="45"/>
  <c r="H11" i="26" s="1"/>
  <c r="C28" i="26"/>
  <c r="I41" i="35"/>
  <c r="L9" i="35"/>
  <c r="M9" i="35" s="1"/>
  <c r="N9" i="35" s="1"/>
  <c r="E19" i="26"/>
  <c r="E22" i="26"/>
  <c r="F46" i="29" s="1"/>
  <c r="E32" i="26"/>
  <c r="E12" i="26"/>
  <c r="E24" i="26"/>
  <c r="H9" i="35"/>
  <c r="I9" i="35" s="1"/>
  <c r="J9" i="35" s="1"/>
  <c r="H40" i="35"/>
  <c r="E8" i="26"/>
  <c r="E33" i="26"/>
  <c r="D28" i="45"/>
  <c r="H28" i="26" s="1"/>
  <c r="B8" i="26"/>
  <c r="C33" i="45"/>
  <c r="G33" i="26" s="1"/>
  <c r="T12" i="35"/>
  <c r="M41" i="35"/>
  <c r="D40" i="35"/>
  <c r="I19" i="35"/>
  <c r="J19" i="35" s="1"/>
  <c r="P34" i="35"/>
  <c r="Q34" i="35" s="1"/>
  <c r="R34" i="35" s="1"/>
  <c r="Q35" i="35"/>
  <c r="R35" i="35" s="1"/>
  <c r="C8" i="45"/>
  <c r="G8" i="26" s="1"/>
  <c r="C24" i="26"/>
  <c r="I36" i="35"/>
  <c r="J36" i="35" s="1"/>
  <c r="M39" i="35"/>
  <c r="I34" i="35"/>
  <c r="J34" i="35" s="1"/>
  <c r="C30" i="47"/>
  <c r="E41" i="35"/>
  <c r="E30" i="47"/>
  <c r="D31" i="43"/>
  <c r="C15" i="47" s="1"/>
  <c r="S15" i="35"/>
  <c r="G15" i="44"/>
  <c r="G45" i="44"/>
  <c r="M30" i="47"/>
  <c r="M44" i="35"/>
  <c r="O44" i="35"/>
  <c r="G30" i="47"/>
  <c r="D29" i="45"/>
  <c r="H29" i="26" s="1"/>
  <c r="Q41" i="35"/>
  <c r="C40" i="35"/>
  <c r="G42" i="44"/>
  <c r="G40" i="35"/>
  <c r="M36" i="35"/>
  <c r="N36" i="35" s="1"/>
  <c r="E13" i="45"/>
  <c r="I13" i="26" s="1"/>
  <c r="M34" i="35"/>
  <c r="N34" i="35" s="1"/>
  <c r="M35" i="35"/>
  <c r="N35" i="35" s="1"/>
  <c r="D8" i="45"/>
  <c r="H8" i="26" s="1"/>
  <c r="O27" i="43"/>
  <c r="F23" i="44"/>
  <c r="O23" i="35" s="1"/>
  <c r="D23" i="44"/>
  <c r="G23" i="35" s="1"/>
  <c r="I23" i="35" s="1"/>
  <c r="J23" i="35" s="1"/>
  <c r="H31" i="43"/>
  <c r="G15" i="47" s="1"/>
  <c r="G26" i="44"/>
  <c r="M15" i="35"/>
  <c r="N15" i="35" s="1"/>
  <c r="M17" i="35"/>
  <c r="N17" i="35" s="1"/>
  <c r="S17" i="35"/>
  <c r="M19" i="35"/>
  <c r="N19" i="35" s="1"/>
  <c r="M31" i="43"/>
  <c r="L15" i="47" s="1"/>
  <c r="G19" i="44"/>
  <c r="E15" i="35"/>
  <c r="F15" i="35" s="1"/>
  <c r="I17" i="35"/>
  <c r="J17" i="35" s="1"/>
  <c r="G9" i="44"/>
  <c r="D9" i="45"/>
  <c r="H9" i="26" s="1"/>
  <c r="O10" i="35"/>
  <c r="Q10" i="35" s="1"/>
  <c r="R10" i="35" s="1"/>
  <c r="C12" i="45"/>
  <c r="G12" i="26" s="1"/>
  <c r="E9" i="45"/>
  <c r="I9" i="26" s="1"/>
  <c r="C13" i="45"/>
  <c r="G13" i="26" s="1"/>
  <c r="D10" i="45"/>
  <c r="H10" i="26" s="1"/>
  <c r="B10" i="45"/>
  <c r="F10" i="26" s="1"/>
  <c r="C9" i="35"/>
  <c r="S9" i="35" s="1"/>
  <c r="E8" i="45"/>
  <c r="I8" i="26" s="1"/>
  <c r="Q40" i="35"/>
  <c r="B13" i="26"/>
  <c r="B32" i="26"/>
  <c r="C9" i="26"/>
  <c r="E13" i="26"/>
  <c r="E31" i="26"/>
  <c r="M12" i="35"/>
  <c r="N12" i="35" s="1"/>
  <c r="D34" i="35"/>
  <c r="E34" i="35" s="1"/>
  <c r="F34" i="35" s="1"/>
  <c r="P33" i="35"/>
  <c r="Q33" i="35" s="1"/>
  <c r="R33" i="35" s="1"/>
  <c r="C8" i="26"/>
  <c r="B30" i="26"/>
  <c r="P15" i="35"/>
  <c r="Q15" i="35" s="1"/>
  <c r="R15" i="35" s="1"/>
  <c r="Q42" i="35"/>
  <c r="B22" i="26"/>
  <c r="C46" i="29" s="1"/>
  <c r="D16" i="35"/>
  <c r="B24" i="26"/>
  <c r="B19" i="26"/>
  <c r="B31" i="26"/>
  <c r="D32" i="45"/>
  <c r="H32" i="26" s="1"/>
  <c r="K40" i="35"/>
  <c r="D31" i="45"/>
  <c r="H31" i="26" s="1"/>
  <c r="D26" i="35"/>
  <c r="B23" i="26"/>
  <c r="C52" i="29" s="1"/>
  <c r="B9" i="26"/>
  <c r="L40" i="35"/>
  <c r="D33" i="26"/>
  <c r="P26" i="35"/>
  <c r="P27" i="35" s="1"/>
  <c r="E32" i="45"/>
  <c r="I32" i="26" s="1"/>
  <c r="E33" i="45"/>
  <c r="I33" i="26" s="1"/>
  <c r="D33" i="45"/>
  <c r="H33" i="26" s="1"/>
  <c r="C16" i="44"/>
  <c r="B25" i="45" s="1"/>
  <c r="F25" i="26" s="1"/>
  <c r="B23" i="47"/>
  <c r="B19" i="47"/>
  <c r="B25" i="47"/>
  <c r="C18" i="26"/>
  <c r="C19" i="26"/>
  <c r="H44" i="35"/>
  <c r="C29" i="26"/>
  <c r="L24" i="35"/>
  <c r="J31" i="43"/>
  <c r="I15" i="47" s="1"/>
  <c r="S19" i="35"/>
  <c r="C39" i="35"/>
  <c r="E39" i="35" s="1"/>
  <c r="G40" i="44"/>
  <c r="B31" i="45"/>
  <c r="F31" i="26" s="1"/>
  <c r="L26" i="35"/>
  <c r="M26" i="35" s="1"/>
  <c r="N26" i="35" s="1"/>
  <c r="H25" i="35"/>
  <c r="T25" i="35" s="1"/>
  <c r="C26" i="35"/>
  <c r="E35" i="35"/>
  <c r="F35" i="35" s="1"/>
  <c r="H39" i="35"/>
  <c r="I39" i="35" s="1"/>
  <c r="C31" i="26"/>
  <c r="L18" i="35"/>
  <c r="C33" i="26"/>
  <c r="D21" i="43"/>
  <c r="D32" i="26"/>
  <c r="P36" i="35"/>
  <c r="Q36" i="35" s="1"/>
  <c r="R36" i="35" s="1"/>
  <c r="E25" i="26"/>
  <c r="K21" i="43"/>
  <c r="I42" i="35"/>
  <c r="C10" i="35"/>
  <c r="E10" i="35" s="1"/>
  <c r="F10" i="35" s="1"/>
  <c r="B12" i="45"/>
  <c r="F12" i="26" s="1"/>
  <c r="D13" i="45"/>
  <c r="H13" i="26" s="1"/>
  <c r="D12" i="45"/>
  <c r="H12" i="26" s="1"/>
  <c r="S25" i="35"/>
  <c r="B24" i="47"/>
  <c r="F25" i="47"/>
  <c r="F24" i="47"/>
  <c r="F22" i="47"/>
  <c r="F28" i="26"/>
  <c r="B30" i="45"/>
  <c r="F30" i="26" s="1"/>
  <c r="D9" i="26"/>
  <c r="L10" i="35"/>
  <c r="D8" i="26"/>
  <c r="P18" i="35"/>
  <c r="Q18" i="35" s="1"/>
  <c r="R18" i="35" s="1"/>
  <c r="P43" i="35"/>
  <c r="E28" i="26"/>
  <c r="D29" i="26"/>
  <c r="D43" i="35"/>
  <c r="H15" i="35"/>
  <c r="I15" i="35" s="1"/>
  <c r="J15" i="35" s="1"/>
  <c r="Q19" i="35"/>
  <c r="R19" i="35" s="1"/>
  <c r="Q39" i="35"/>
  <c r="P44" i="35"/>
  <c r="E29" i="26"/>
  <c r="D24" i="35"/>
  <c r="E24" i="35" s="1"/>
  <c r="F24" i="35" s="1"/>
  <c r="K11" i="35"/>
  <c r="S11" i="35" s="1"/>
  <c r="G20" i="43"/>
  <c r="M25" i="35"/>
  <c r="N25" i="35" s="1"/>
  <c r="D17" i="35"/>
  <c r="T17" i="35" s="1"/>
  <c r="F23" i="47"/>
  <c r="K20" i="43"/>
  <c r="J25" i="47"/>
  <c r="J24" i="47"/>
  <c r="J23" i="47"/>
  <c r="J19" i="47"/>
  <c r="I35" i="35"/>
  <c r="J35" i="35" s="1"/>
  <c r="I10" i="35"/>
  <c r="J10" i="35" s="1"/>
  <c r="B12" i="26"/>
  <c r="D12" i="26"/>
  <c r="Q25" i="35"/>
  <c r="R25" i="35" s="1"/>
  <c r="C44" i="35"/>
  <c r="E33" i="35"/>
  <c r="F33" i="35" s="1"/>
  <c r="K25" i="47"/>
  <c r="F30" i="47"/>
  <c r="T19" i="35"/>
  <c r="E9" i="26"/>
  <c r="D13" i="26"/>
  <c r="E23" i="26"/>
  <c r="H24" i="35"/>
  <c r="C9" i="45"/>
  <c r="G9" i="26" s="1"/>
  <c r="D16" i="44"/>
  <c r="E18" i="44"/>
  <c r="K18" i="35" s="1"/>
  <c r="C25" i="26"/>
  <c r="T23" i="35"/>
  <c r="M43" i="35"/>
  <c r="K10" i="35"/>
  <c r="I31" i="43"/>
  <c r="H15" i="47" s="1"/>
  <c r="D12" i="44"/>
  <c r="C10" i="45" s="1"/>
  <c r="G10" i="26" s="1"/>
  <c r="F12" i="44"/>
  <c r="L31" i="43"/>
  <c r="K15" i="47" s="1"/>
  <c r="C23" i="44"/>
  <c r="D27" i="44"/>
  <c r="G26" i="35" s="1"/>
  <c r="N31" i="43"/>
  <c r="M15" i="47" s="1"/>
  <c r="E16" i="44"/>
  <c r="D22" i="45" s="1"/>
  <c r="H22" i="26" s="1"/>
  <c r="F27" i="44"/>
  <c r="O26" i="35" s="1"/>
  <c r="K23" i="35"/>
  <c r="M23" i="35" s="1"/>
  <c r="N23" i="35" s="1"/>
  <c r="G10" i="44"/>
  <c r="B8" i="45"/>
  <c r="F8" i="26" s="1"/>
  <c r="B9" i="45"/>
  <c r="F9" i="26" s="1"/>
  <c r="B25" i="26"/>
  <c r="E25" i="35"/>
  <c r="F25" i="35" s="1"/>
  <c r="E19" i="35"/>
  <c r="F19" i="35" s="1"/>
  <c r="C23" i="26"/>
  <c r="H11" i="35"/>
  <c r="C13" i="26"/>
  <c r="C22" i="26"/>
  <c r="H33" i="35"/>
  <c r="I33" i="35" s="1"/>
  <c r="J33" i="35" s="1"/>
  <c r="B13" i="45"/>
  <c r="F13" i="26" s="1"/>
  <c r="B11" i="45"/>
  <c r="F11" i="26" s="1"/>
  <c r="G11" i="44"/>
  <c r="K33" i="35"/>
  <c r="M33" i="35" s="1"/>
  <c r="N33" i="35" s="1"/>
  <c r="H18" i="47"/>
  <c r="G44" i="44"/>
  <c r="E12" i="35"/>
  <c r="F12" i="35" s="1"/>
  <c r="C32" i="45"/>
  <c r="G32" i="26" s="1"/>
  <c r="G41" i="44"/>
  <c r="D18" i="44"/>
  <c r="G18" i="35" s="1"/>
  <c r="F20" i="43"/>
  <c r="F74" i="43" s="1"/>
  <c r="C31" i="45"/>
  <c r="G31" i="26" s="1"/>
  <c r="E31" i="45"/>
  <c r="I31" i="26" s="1"/>
  <c r="C42" i="35"/>
  <c r="E42" i="35" s="1"/>
  <c r="G43" i="44"/>
  <c r="B33" i="45"/>
  <c r="F33" i="26" s="1"/>
  <c r="C28" i="45"/>
  <c r="G43" i="35"/>
  <c r="I43" i="35" s="1"/>
  <c r="E28" i="45"/>
  <c r="O43" i="35"/>
  <c r="C29" i="45"/>
  <c r="G29" i="26" s="1"/>
  <c r="G44" i="35"/>
  <c r="C43" i="35"/>
  <c r="I24" i="47"/>
  <c r="I25" i="47"/>
  <c r="E25" i="44"/>
  <c r="K24" i="35" s="1"/>
  <c r="F16" i="44"/>
  <c r="F20" i="44" s="1"/>
  <c r="K66" i="43" l="1"/>
  <c r="K74" i="43"/>
  <c r="K63" i="43"/>
  <c r="G63" i="43"/>
  <c r="G74" i="43"/>
  <c r="F66" i="43"/>
  <c r="F63" i="43"/>
  <c r="D67" i="43"/>
  <c r="D69" i="43"/>
  <c r="F18" i="47"/>
  <c r="G66" i="43"/>
  <c r="E44" i="35"/>
  <c r="C30" i="26"/>
  <c r="F51" i="29"/>
  <c r="C51" i="29"/>
  <c r="T9" i="35"/>
  <c r="U9" i="35" s="1"/>
  <c r="V9" i="35" s="1"/>
  <c r="Q44" i="35"/>
  <c r="D30" i="26"/>
  <c r="H20" i="35"/>
  <c r="I40" i="35"/>
  <c r="E43" i="35"/>
  <c r="E40" i="35"/>
  <c r="E9" i="35"/>
  <c r="F9" i="35" s="1"/>
  <c r="M11" i="35"/>
  <c r="N11" i="35" s="1"/>
  <c r="Q43" i="35"/>
  <c r="D20" i="44"/>
  <c r="C18" i="45" s="1"/>
  <c r="G18" i="26" s="1"/>
  <c r="O28" i="43"/>
  <c r="D30" i="45"/>
  <c r="H30" i="26" s="1"/>
  <c r="M40" i="35"/>
  <c r="G31" i="43"/>
  <c r="F15" i="47" s="1"/>
  <c r="U17" i="35"/>
  <c r="V17" i="35" s="1"/>
  <c r="S10" i="35"/>
  <c r="M10" i="35"/>
  <c r="N10" i="35" s="1"/>
  <c r="E21" i="43"/>
  <c r="T24" i="35"/>
  <c r="T15" i="35"/>
  <c r="U15" i="35" s="1"/>
  <c r="V15" i="35" s="1"/>
  <c r="C21" i="43"/>
  <c r="C24" i="45"/>
  <c r="G24" i="26" s="1"/>
  <c r="G16" i="35"/>
  <c r="I16" i="35" s="1"/>
  <c r="J16" i="35" s="1"/>
  <c r="C19" i="45"/>
  <c r="G19" i="26" s="1"/>
  <c r="C25" i="45"/>
  <c r="G25" i="26" s="1"/>
  <c r="D18" i="35"/>
  <c r="T18" i="35" s="1"/>
  <c r="O12" i="35"/>
  <c r="Q12" i="35" s="1"/>
  <c r="R12" i="35" s="1"/>
  <c r="E10" i="45"/>
  <c r="I10" i="26" s="1"/>
  <c r="E11" i="45"/>
  <c r="I11" i="26" s="1"/>
  <c r="I25" i="35"/>
  <c r="J25" i="35" s="1"/>
  <c r="G27" i="35"/>
  <c r="L16" i="35"/>
  <c r="L20" i="35" s="1"/>
  <c r="D25" i="26"/>
  <c r="D24" i="26"/>
  <c r="D22" i="26"/>
  <c r="D19" i="26"/>
  <c r="D23" i="26"/>
  <c r="E52" i="29" s="1"/>
  <c r="C28" i="44"/>
  <c r="G23" i="44"/>
  <c r="C23" i="35"/>
  <c r="E30" i="26"/>
  <c r="U19" i="35"/>
  <c r="V19" i="35" s="1"/>
  <c r="E18" i="26"/>
  <c r="E15" i="26"/>
  <c r="U25" i="35"/>
  <c r="V25" i="35" s="1"/>
  <c r="L27" i="35"/>
  <c r="D28" i="44"/>
  <c r="E26" i="35"/>
  <c r="F26" i="35" s="1"/>
  <c r="S26" i="35"/>
  <c r="I44" i="35"/>
  <c r="J18" i="47"/>
  <c r="K31" i="43"/>
  <c r="J15" i="47" s="1"/>
  <c r="D27" i="35"/>
  <c r="G25" i="44"/>
  <c r="J21" i="43"/>
  <c r="C16" i="35"/>
  <c r="E16" i="35" s="1"/>
  <c r="F16" i="35" s="1"/>
  <c r="B22" i="45"/>
  <c r="F22" i="26" s="1"/>
  <c r="B24" i="45"/>
  <c r="F24" i="26" s="1"/>
  <c r="B23" i="45"/>
  <c r="F23" i="26" s="1"/>
  <c r="B19" i="45"/>
  <c r="F19" i="26" s="1"/>
  <c r="Q26" i="35"/>
  <c r="R26" i="35" s="1"/>
  <c r="E28" i="44"/>
  <c r="C47" i="29"/>
  <c r="D23" i="45"/>
  <c r="H23" i="26" s="1"/>
  <c r="D24" i="45"/>
  <c r="H24" i="26" s="1"/>
  <c r="K16" i="35"/>
  <c r="D25" i="45"/>
  <c r="H25" i="26" s="1"/>
  <c r="D19" i="45"/>
  <c r="H19" i="26" s="1"/>
  <c r="F47" i="29"/>
  <c r="F52" i="29"/>
  <c r="E17" i="35"/>
  <c r="F17" i="35" s="1"/>
  <c r="Q23" i="35"/>
  <c r="R23" i="35" s="1"/>
  <c r="O27" i="35"/>
  <c r="Q27" i="35" s="1"/>
  <c r="R27" i="35" s="1"/>
  <c r="C22" i="45"/>
  <c r="G22" i="26" s="1"/>
  <c r="G12" i="35"/>
  <c r="C11" i="45"/>
  <c r="G11" i="26" s="1"/>
  <c r="G12" i="44"/>
  <c r="I24" i="35"/>
  <c r="J24" i="35" s="1"/>
  <c r="E20" i="44"/>
  <c r="D18" i="45" s="1"/>
  <c r="H18" i="26" s="1"/>
  <c r="E23" i="45"/>
  <c r="I23" i="26" s="1"/>
  <c r="J52" i="29" s="1"/>
  <c r="T10" i="35"/>
  <c r="C23" i="45"/>
  <c r="G23" i="26" s="1"/>
  <c r="M18" i="35"/>
  <c r="N18" i="35" s="1"/>
  <c r="G27" i="44"/>
  <c r="F28" i="44"/>
  <c r="F31" i="44" s="1"/>
  <c r="E15" i="45" s="1"/>
  <c r="I15" i="26" s="1"/>
  <c r="P20" i="35"/>
  <c r="P30" i="35" s="1"/>
  <c r="E18" i="45"/>
  <c r="I18" i="26" s="1"/>
  <c r="F31" i="43"/>
  <c r="E15" i="47" s="1"/>
  <c r="E18" i="47"/>
  <c r="I46" i="29"/>
  <c r="I51" i="29"/>
  <c r="D46" i="29"/>
  <c r="D51" i="29"/>
  <c r="D47" i="29"/>
  <c r="D52" i="29"/>
  <c r="C20" i="43"/>
  <c r="C30" i="45"/>
  <c r="G30" i="26" s="1"/>
  <c r="G28" i="26"/>
  <c r="I18" i="35"/>
  <c r="J18" i="35" s="1"/>
  <c r="O16" i="35"/>
  <c r="E24" i="45"/>
  <c r="I24" i="26" s="1"/>
  <c r="G16" i="44"/>
  <c r="E22" i="45"/>
  <c r="I22" i="26" s="1"/>
  <c r="E25" i="45"/>
  <c r="I25" i="26" s="1"/>
  <c r="E19" i="45"/>
  <c r="I19" i="26" s="1"/>
  <c r="S24" i="35"/>
  <c r="M24" i="35"/>
  <c r="N24" i="35" s="1"/>
  <c r="K27" i="35"/>
  <c r="I28" i="26"/>
  <c r="E30" i="45"/>
  <c r="I30" i="26" s="1"/>
  <c r="I11" i="35"/>
  <c r="J11" i="35" s="1"/>
  <c r="T11" i="35"/>
  <c r="U11" i="35" s="1"/>
  <c r="V11" i="35" s="1"/>
  <c r="C63" i="43" l="1"/>
  <c r="C74" i="43"/>
  <c r="C66" i="43"/>
  <c r="C68" i="43"/>
  <c r="U10" i="35"/>
  <c r="V10" i="35" s="1"/>
  <c r="B18" i="26"/>
  <c r="D31" i="44"/>
  <c r="C15" i="45" s="1"/>
  <c r="G15" i="26" s="1"/>
  <c r="E31" i="44"/>
  <c r="D15" i="45" s="1"/>
  <c r="H15" i="26" s="1"/>
  <c r="D20" i="35"/>
  <c r="D30" i="35" s="1"/>
  <c r="C15" i="26"/>
  <c r="E47" i="29"/>
  <c r="O21" i="43"/>
  <c r="I12" i="35"/>
  <c r="J12" i="35" s="1"/>
  <c r="S12" i="35"/>
  <c r="U12" i="35" s="1"/>
  <c r="V12" i="35" s="1"/>
  <c r="H51" i="29"/>
  <c r="H46" i="29"/>
  <c r="H26" i="35"/>
  <c r="D15" i="26"/>
  <c r="D18" i="26"/>
  <c r="G20" i="35"/>
  <c r="G30" i="35" s="1"/>
  <c r="J47" i="29"/>
  <c r="G28" i="44"/>
  <c r="S23" i="35"/>
  <c r="U23" i="35" s="1"/>
  <c r="V23" i="35" s="1"/>
  <c r="E23" i="35"/>
  <c r="F23" i="35" s="1"/>
  <c r="C27" i="35"/>
  <c r="E27" i="35" s="1"/>
  <c r="F27" i="35" s="1"/>
  <c r="I52" i="29"/>
  <c r="I47" i="29"/>
  <c r="G46" i="29"/>
  <c r="G51" i="29"/>
  <c r="L30" i="35"/>
  <c r="H47" i="29"/>
  <c r="H52" i="29"/>
  <c r="E46" i="29"/>
  <c r="E51" i="29"/>
  <c r="K20" i="35"/>
  <c r="M20" i="35" s="1"/>
  <c r="N20" i="35" s="1"/>
  <c r="M16" i="35"/>
  <c r="N16" i="35" s="1"/>
  <c r="T16" i="35"/>
  <c r="T20" i="35" s="1"/>
  <c r="G52" i="29"/>
  <c r="G47" i="29"/>
  <c r="M27" i="35"/>
  <c r="N27" i="35" s="1"/>
  <c r="J51" i="29"/>
  <c r="J46" i="29"/>
  <c r="C31" i="43"/>
  <c r="C69" i="43" s="1"/>
  <c r="B18" i="47"/>
  <c r="O20" i="35"/>
  <c r="Q16" i="35"/>
  <c r="R16" i="35" s="1"/>
  <c r="S16" i="35"/>
  <c r="U24" i="35"/>
  <c r="V24" i="35" s="1"/>
  <c r="C67" i="43" l="1"/>
  <c r="O29" i="43"/>
  <c r="I20" i="35"/>
  <c r="J20" i="35" s="1"/>
  <c r="S27" i="35"/>
  <c r="O32" i="43"/>
  <c r="K30" i="35"/>
  <c r="M30" i="35" s="1"/>
  <c r="N30" i="35" s="1"/>
  <c r="I26" i="35"/>
  <c r="J26" i="35" s="1"/>
  <c r="T26" i="35"/>
  <c r="H27" i="35"/>
  <c r="U16" i="35"/>
  <c r="V16" i="35" s="1"/>
  <c r="B15" i="47"/>
  <c r="O30" i="35"/>
  <c r="Q30" i="35" s="1"/>
  <c r="R30" i="35" s="1"/>
  <c r="Q20" i="35"/>
  <c r="R20" i="35" s="1"/>
  <c r="I27" i="35" l="1"/>
  <c r="J27" i="35" s="1"/>
  <c r="H30" i="35"/>
  <c r="I30" i="35" s="1"/>
  <c r="J30" i="35" s="1"/>
  <c r="U26" i="35"/>
  <c r="V26" i="35" s="1"/>
  <c r="T27" i="35"/>
  <c r="T30" i="35" l="1"/>
  <c r="U27" i="35"/>
  <c r="V27" i="35" s="1"/>
  <c r="C18" i="44" l="1"/>
  <c r="G18" i="44" s="1"/>
  <c r="O18" i="43"/>
  <c r="E20" i="43"/>
  <c r="E74" i="43" s="1"/>
  <c r="D18" i="47" l="1"/>
  <c r="C18" i="35"/>
  <c r="E63" i="43"/>
  <c r="E68" i="43"/>
  <c r="C20" i="44"/>
  <c r="O20" i="43"/>
  <c r="O74" i="43" s="1"/>
  <c r="E31" i="43"/>
  <c r="E69" i="43" s="1"/>
  <c r="E66" i="43"/>
  <c r="E67" i="43" l="1"/>
  <c r="O63" i="43"/>
  <c r="C20" i="35"/>
  <c r="E18" i="35"/>
  <c r="F18" i="35" s="1"/>
  <c r="S18" i="35"/>
  <c r="D15" i="47"/>
  <c r="O31" i="43"/>
  <c r="G20" i="44"/>
  <c r="C31" i="44"/>
  <c r="B18" i="45"/>
  <c r="F18" i="26" s="1"/>
  <c r="U18" i="35" l="1"/>
  <c r="V18" i="35" s="1"/>
  <c r="S20" i="35"/>
  <c r="C30" i="35"/>
  <c r="E30" i="35" s="1"/>
  <c r="F30" i="35" s="1"/>
  <c r="E20" i="35"/>
  <c r="F20" i="35" s="1"/>
  <c r="B15" i="45"/>
  <c r="F15" i="26" s="1"/>
  <c r="G31" i="44"/>
  <c r="F15" i="45" l="1"/>
  <c r="J15" i="26" s="1"/>
  <c r="S30" i="35"/>
  <c r="U30" i="35" s="1"/>
  <c r="V30" i="35" s="1"/>
  <c r="U20" i="35"/>
  <c r="V20" i="3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Bob Penland</author>
    <author>J. Michele Miller</author>
  </authors>
  <commentList>
    <comment ref="B9" authorId="0" shapeId="0" xr:uid="{00000000-0006-0000-0100-000001000000}">
      <text>
        <r>
          <rPr>
            <b/>
            <sz val="9"/>
            <color indexed="81"/>
            <rFont val="Tahoma"/>
            <family val="2"/>
          </rPr>
          <t>The total number of reactive tickets created during the quarter.  Reactive tickets are tickets reported by the client or by tools that require human intervention to resolve. 
Do not include tickets for proactive service, vCIO or Network Administration.</t>
        </r>
      </text>
    </comment>
    <comment ref="B10" authorId="0" shapeId="0" xr:uid="{00000000-0006-0000-0100-000002000000}">
      <text>
        <r>
          <rPr>
            <b/>
            <sz val="9"/>
            <color indexed="81"/>
            <rFont val="Tahoma"/>
            <family val="2"/>
          </rPr>
          <t>The total number of reactive tickets closed during the quarter.</t>
        </r>
      </text>
    </comment>
    <comment ref="B15" authorId="0" shapeId="0" xr:uid="{00000000-0006-0000-0100-000003000000}">
      <text>
        <r>
          <rPr>
            <b/>
            <sz val="9"/>
            <color indexed="81"/>
            <rFont val="Tahoma"/>
            <family val="2"/>
          </rPr>
          <t>Total non-recurring technical services billed during the quarter.</t>
        </r>
      </text>
    </comment>
    <comment ref="B16" authorId="0" shapeId="0" xr:uid="{00000000-0006-0000-0100-000004000000}">
      <text>
        <r>
          <rPr>
            <b/>
            <sz val="9"/>
            <color indexed="81"/>
            <rFont val="Tahoma"/>
            <family val="2"/>
          </rPr>
          <t>Total recurring revenue from managed services during the quarter.</t>
        </r>
      </text>
    </comment>
    <comment ref="A17" authorId="1" shapeId="0" xr:uid="{2864B0B2-BFAB-4B25-9759-6F286F90B165}">
      <text>
        <r>
          <rPr>
            <b/>
            <sz val="9"/>
            <color indexed="81"/>
            <rFont val="Tahoma"/>
            <family val="2"/>
          </rPr>
          <t>J. Michele Miller:</t>
        </r>
        <r>
          <rPr>
            <sz val="9"/>
            <color indexed="81"/>
            <rFont val="Tahoma"/>
            <family val="2"/>
          </rPr>
          <t xml:space="preserve">
hosting, SAS, S2S, Nextive, Telarus
</t>
        </r>
      </text>
    </comment>
    <comment ref="B17" authorId="0" shapeId="0" xr:uid="{00000000-0006-0000-0100-000005000000}">
      <text>
        <r>
          <rPr>
            <b/>
            <sz val="9"/>
            <color indexed="81"/>
            <rFont val="Tahoma"/>
            <family val="2"/>
          </rPr>
          <t>Total recurring revenue for services that you provide to non-managed service clients.  Examples include "backup only" agreements, "spam filtering only" agreements, "monitoring only" agreements.  All recurring revenue from Managed Service clients should be included in the above MRR row.  ORR is only for clients that are not managed but subscribe to some other recurring service.  This row may be blank for you company depending on the services you offer.</t>
        </r>
      </text>
    </comment>
    <comment ref="B18" authorId="0" shapeId="0" xr:uid="{00000000-0006-0000-0100-000006000000}">
      <text>
        <r>
          <rPr>
            <b/>
            <sz val="9"/>
            <color indexed="81"/>
            <rFont val="Tahoma"/>
            <family val="2"/>
          </rPr>
          <t xml:space="preserve">Product sales include hardware, software, licensing, or warranty purchases.  </t>
        </r>
      </text>
    </comment>
    <comment ref="B19" authorId="0" shapeId="0" xr:uid="{00000000-0006-0000-0100-000007000000}">
      <text>
        <r>
          <rPr>
            <b/>
            <sz val="9"/>
            <color indexed="81"/>
            <rFont val="Tahoma"/>
            <family val="2"/>
          </rPr>
          <t>Miscellaneous revenue would include revenue from other lines of business not related to your managed service.  This might include development work, cabling, etc.</t>
        </r>
      </text>
    </comment>
    <comment ref="B23" authorId="0" shapeId="0" xr:uid="{00000000-0006-0000-0100-000008000000}">
      <text>
        <r>
          <rPr>
            <b/>
            <sz val="9"/>
            <color indexed="81"/>
            <rFont val="Tahoma"/>
            <family val="2"/>
          </rPr>
          <t>Total employee expenses including salary, benefits, etc.  Do not include owners salary in this row.</t>
        </r>
      </text>
    </comment>
    <comment ref="B24" authorId="0" shapeId="0" xr:uid="{3575D726-91B7-4E4D-89C3-1C1F5E57D486}">
      <text>
        <r>
          <rPr>
            <b/>
            <sz val="9"/>
            <color indexed="81"/>
            <rFont val="Tahoma"/>
            <family val="2"/>
          </rPr>
          <t>Total employee expenses including salary, benefits, etc.  Do not include owners salary in this row.</t>
        </r>
      </text>
    </comment>
    <comment ref="E24" authorId="1" shapeId="0" xr:uid="{73CB2014-5FC8-4261-B769-01A5C6A90B88}">
      <text>
        <r>
          <rPr>
            <b/>
            <sz val="9"/>
            <color indexed="81"/>
            <rFont val="Tahoma"/>
            <charset val="1"/>
          </rPr>
          <t>J. Michele Miller:</t>
        </r>
        <r>
          <rPr>
            <sz val="9"/>
            <color indexed="81"/>
            <rFont val="Tahoma"/>
            <charset val="1"/>
          </rPr>
          <t xml:space="preserve">
Paid TY 2024 taxes needed to take out more $ to make the payments, going forward need to take out $6000 per month instead of $5000</t>
        </r>
      </text>
    </comment>
    <comment ref="H24" authorId="1" shapeId="0" xr:uid="{733B3AD1-8C4E-42DA-9527-81EE545C68B2}">
      <text>
        <r>
          <rPr>
            <b/>
            <sz val="9"/>
            <color indexed="81"/>
            <rFont val="Tahoma"/>
            <charset val="1"/>
          </rPr>
          <t>J. Michele Miller:</t>
        </r>
        <r>
          <rPr>
            <sz val="9"/>
            <color indexed="81"/>
            <rFont val="Tahoma"/>
            <charset val="1"/>
          </rPr>
          <t xml:space="preserve">
$17,000 additiional to pay $36,000 to IRS and LADR
$12,000 per month is new tax monthly est instead of $6,000</t>
        </r>
      </text>
    </comment>
    <comment ref="B25" authorId="0" shapeId="0" xr:uid="{00000000-0006-0000-0100-000009000000}">
      <text>
        <r>
          <rPr>
            <b/>
            <sz val="9"/>
            <color indexed="81"/>
            <rFont val="Tahoma"/>
            <family val="2"/>
          </rPr>
          <t>Owners direct compensation and benefits.</t>
        </r>
      </text>
    </comment>
    <comment ref="B26" authorId="0" shapeId="0" xr:uid="{00000000-0006-0000-0100-00000A000000}">
      <text>
        <r>
          <rPr>
            <b/>
            <sz val="9"/>
            <color indexed="81"/>
            <rFont val="Tahoma"/>
            <family val="2"/>
          </rPr>
          <t>Cost of products sold.</t>
        </r>
      </text>
    </comment>
    <comment ref="D26" authorId="1" shapeId="0" xr:uid="{6EAEF72E-E958-431F-AE60-58DD87C9BD9F}">
      <text>
        <r>
          <rPr>
            <b/>
            <sz val="9"/>
            <color indexed="81"/>
            <rFont val="Tahoma"/>
            <charset val="1"/>
          </rPr>
          <t>J. Michele Miller:</t>
        </r>
        <r>
          <rPr>
            <sz val="9"/>
            <color indexed="81"/>
            <rFont val="Tahoma"/>
            <charset val="1"/>
          </rPr>
          <t xml:space="preserve">
M365 Annual renewals
$51,443
$14,569 of that was invoiced in Dec 2024 for Chillco
</t>
        </r>
      </text>
    </comment>
    <comment ref="E26" authorId="1" shapeId="0" xr:uid="{48514DA1-3B65-4F5F-94AC-CB621BFE5A3D}">
      <text>
        <r>
          <rPr>
            <b/>
            <sz val="9"/>
            <color indexed="81"/>
            <rFont val="Tahoma"/>
            <charset val="1"/>
          </rPr>
          <t>J. Michele Miller:
M365 Annual renewals
$51,443
$14,569 of that was invoiced in Dec 2024 for Chillco</t>
        </r>
      </text>
    </comment>
    <comment ref="B27" authorId="0" shapeId="0" xr:uid="{00000000-0006-0000-0100-00000B000000}">
      <text>
        <r>
          <rPr>
            <b/>
            <sz val="9"/>
            <color indexed="81"/>
            <rFont val="Tahoma"/>
            <family val="2"/>
          </rPr>
          <t>All other expenses including facilities, utilities, training, equipment, etc.</t>
        </r>
      </text>
    </comment>
    <comment ref="B34" authorId="0" shapeId="0" xr:uid="{00000000-0006-0000-0100-00000C000000}">
      <text>
        <r>
          <rPr>
            <b/>
            <sz val="9"/>
            <color indexed="81"/>
            <rFont val="Tahoma"/>
            <family val="2"/>
          </rPr>
          <t>Total number of employees in the company including owners.</t>
        </r>
      </text>
    </comment>
    <comment ref="K41" authorId="1" shapeId="0" xr:uid="{DC1A9565-40A6-404E-B968-59C53794DF26}">
      <text>
        <r>
          <rPr>
            <b/>
            <sz val="9"/>
            <color indexed="81"/>
            <rFont val="Tahoma"/>
            <charset val="1"/>
          </rPr>
          <t>J. Michele Miller:</t>
        </r>
        <r>
          <rPr>
            <sz val="9"/>
            <color indexed="81"/>
            <rFont val="Tahoma"/>
            <charset val="1"/>
          </rPr>
          <t xml:space="preserve">
Jason referral 9/11/25
Plumber in Abita 9/12/25 Google</t>
        </r>
      </text>
    </comment>
    <comment ref="L41" authorId="1" shapeId="0" xr:uid="{D9D53DF6-A6D0-4E91-96B9-415CB475E5F8}">
      <text>
        <r>
          <rPr>
            <b/>
            <sz val="9"/>
            <color indexed="81"/>
            <rFont val="Tahoma"/>
            <charset val="1"/>
          </rPr>
          <t>J. Michele Miller:</t>
        </r>
        <r>
          <rPr>
            <sz val="9"/>
            <color indexed="81"/>
            <rFont val="Tahoma"/>
            <charset val="1"/>
          </rPr>
          <t xml:space="preserve">
-jason attorney referral
-trombone shorty
-Thurs lunch referral for small investment co
</t>
        </r>
      </text>
    </comment>
    <comment ref="F44" authorId="1" shapeId="0" xr:uid="{41409791-EEB1-4D40-A992-C7ED8621ACD0}">
      <text>
        <r>
          <rPr>
            <b/>
            <sz val="9"/>
            <color indexed="81"/>
            <rFont val="Tahoma"/>
            <charset val="1"/>
          </rPr>
          <t>J. Michele Miller:</t>
        </r>
        <r>
          <rPr>
            <sz val="9"/>
            <color indexed="81"/>
            <rFont val="Tahoma"/>
            <charset val="1"/>
          </rPr>
          <t xml:space="preserve">
Parasol/Telerecovery ener automation
</t>
        </r>
      </text>
    </comment>
    <comment ref="G44" authorId="1" shapeId="0" xr:uid="{A21F6381-E131-4611-A316-112392F5FBD8}">
      <text>
        <r>
          <rPr>
            <b/>
            <sz val="9"/>
            <color indexed="81"/>
            <rFont val="Tahoma"/>
            <charset val="1"/>
          </rPr>
          <t>J. Michele Miller:</t>
        </r>
        <r>
          <rPr>
            <sz val="9"/>
            <color indexed="81"/>
            <rFont val="Tahoma"/>
            <charset val="1"/>
          </rPr>
          <t xml:space="preserve">
4/14/25 Averill and Reaney$1100
4/16/25 RV Masters $989</t>
        </r>
      </text>
    </comment>
    <comment ref="J44" authorId="1" shapeId="0" xr:uid="{E461E8A5-8E37-4A11-A48E-DFDDF3A866FD}">
      <text>
        <r>
          <rPr>
            <b/>
            <sz val="9"/>
            <color indexed="81"/>
            <rFont val="Tahoma"/>
            <charset val="1"/>
          </rPr>
          <t>J. Michele Miller:</t>
        </r>
        <r>
          <rPr>
            <sz val="9"/>
            <color indexed="81"/>
            <rFont val="Tahoma"/>
            <charset val="1"/>
          </rPr>
          <t xml:space="preserve">
Treadaway Bollinger $1605
</t>
        </r>
      </text>
    </comment>
    <comment ref="K44" authorId="1" shapeId="0" xr:uid="{C4D647D5-0E66-421C-B723-FBC902F41463}">
      <text>
        <r>
          <rPr>
            <b/>
            <sz val="9"/>
            <color indexed="81"/>
            <rFont val="Tahoma"/>
            <charset val="1"/>
          </rPr>
          <t>J. Michele Miller:</t>
        </r>
        <r>
          <rPr>
            <sz val="9"/>
            <color indexed="81"/>
            <rFont val="Tahoma"/>
            <charset val="1"/>
          </rPr>
          <t xml:space="preserve">
Quality Plumbing $866
</t>
        </r>
      </text>
    </comment>
    <comment ref="D45" authorId="1" shapeId="0" xr:uid="{C128472F-5F97-4EBA-ABA8-EE9D3B93BE11}">
      <text>
        <r>
          <rPr>
            <b/>
            <sz val="9"/>
            <color indexed="81"/>
            <rFont val="Tahoma"/>
            <charset val="1"/>
          </rPr>
          <t>J. Michele Miller:</t>
        </r>
        <r>
          <rPr>
            <sz val="9"/>
            <color indexed="81"/>
            <rFont val="Tahoma"/>
            <charset val="1"/>
          </rPr>
          <t xml:space="preserve">
Third Coast
</t>
        </r>
      </text>
    </comment>
    <comment ref="G45" authorId="1" shapeId="0" xr:uid="{00E79065-9E95-49F8-9DC2-B69E26FC434C}">
      <text>
        <r>
          <rPr>
            <b/>
            <sz val="9"/>
            <color indexed="81"/>
            <rFont val="Tahoma"/>
            <charset val="1"/>
          </rPr>
          <t>J. Michele Miller:</t>
        </r>
        <r>
          <rPr>
            <sz val="9"/>
            <color indexed="81"/>
            <rFont val="Tahoma"/>
            <charset val="1"/>
          </rPr>
          <t xml:space="preserve">
Whitespace 
</t>
        </r>
      </text>
    </comment>
    <comment ref="J45" authorId="1" shapeId="0" xr:uid="{5A0BD0E5-45D5-4A7E-AA81-B2F581B5E17A}">
      <text>
        <r>
          <rPr>
            <b/>
            <sz val="9"/>
            <color indexed="81"/>
            <rFont val="Tahoma"/>
            <charset val="1"/>
          </rPr>
          <t>J. Michele Miller:</t>
        </r>
        <r>
          <rPr>
            <sz val="9"/>
            <color indexed="81"/>
            <rFont val="Tahoma"/>
            <charset val="1"/>
          </rPr>
          <t xml:space="preserve">
baker marine
</t>
        </r>
      </text>
    </comment>
    <comment ref="K45" authorId="1" shapeId="0" xr:uid="{16CF4A24-A856-4FF9-8DD0-238F48788CAB}">
      <text>
        <r>
          <rPr>
            <b/>
            <sz val="9"/>
            <color indexed="81"/>
            <rFont val="Tahoma"/>
            <charset val="1"/>
          </rPr>
          <t>J. Michele Miller:</t>
        </r>
        <r>
          <rPr>
            <sz val="9"/>
            <color indexed="81"/>
            <rFont val="Tahoma"/>
            <charset val="1"/>
          </rPr>
          <t xml:space="preserve">
Sonitrol/securitas $415.73
Pickwick $415.35
</t>
        </r>
      </text>
    </comment>
    <comment ref="B51" authorId="1" shapeId="0" xr:uid="{00000000-0006-0000-0100-00000D000000}">
      <text>
        <r>
          <rPr>
            <b/>
            <sz val="9"/>
            <color indexed="81"/>
            <rFont val="Tahoma"/>
            <family val="2"/>
          </rPr>
          <t>J. Michele Miller:</t>
        </r>
        <r>
          <rPr>
            <sz val="9"/>
            <color indexed="81"/>
            <rFont val="Tahoma"/>
            <family val="2"/>
          </rPr>
          <t xml:space="preserve">
DGNB bank balance at end of month
</t>
        </r>
      </text>
    </comment>
    <comment ref="B56" authorId="1" shapeId="0" xr:uid="{00000000-0006-0000-0100-00000E000000}">
      <text>
        <r>
          <rPr>
            <b/>
            <sz val="9"/>
            <color indexed="81"/>
            <rFont val="Tahoma"/>
            <family val="2"/>
          </rPr>
          <t>J. Michele Miller:</t>
        </r>
        <r>
          <rPr>
            <sz val="9"/>
            <color indexed="81"/>
            <rFont val="Tahoma"/>
            <family val="2"/>
          </rPr>
          <t xml:space="preserve">
(Product sales - COGS) / COGS
</t>
        </r>
      </text>
    </comment>
    <comment ref="B63" authorId="1" shapeId="0" xr:uid="{432B9EC0-BA27-4F67-B83F-5799D0F0278B}">
      <text>
        <r>
          <rPr>
            <b/>
            <sz val="9"/>
            <color indexed="81"/>
            <rFont val="Tahoma"/>
            <family val="2"/>
          </rPr>
          <t>J. Michele Miller:</t>
        </r>
        <r>
          <rPr>
            <sz val="9"/>
            <color indexed="81"/>
            <rFont val="Tahoma"/>
            <family val="2"/>
          </rPr>
          <t xml:space="preserve">
Crabtree 
LER&gt;2.0 for all labor</t>
        </r>
      </text>
    </comment>
    <comment ref="B74" authorId="1" shapeId="0" xr:uid="{F9B45E7A-856B-4B62-A650-D887126D6908}">
      <text>
        <r>
          <rPr>
            <b/>
            <sz val="9"/>
            <color indexed="81"/>
            <rFont val="Tahoma"/>
            <family val="2"/>
          </rPr>
          <t>J. Michele Miller:</t>
        </r>
        <r>
          <rPr>
            <sz val="9"/>
            <color indexed="81"/>
            <rFont val="Tahoma"/>
            <family val="2"/>
          </rPr>
          <t xml:space="preserve">
Verne Harnish - mentioned  in May 28, 2021 email  that Andy Bailey went from $75,000 per employee to $275,000 per employee
Gross Margin Dollars per Employee ( I think these are annual numbers and not monthly) Monthly would be $6,250 - $22,917.
"A key metric for tracking overall productivity is gross margin dollars per employee. Andy Bailey, now one of our Scaling Up Certified coaching partners, focused on this metric as he scaled NationLink Wireless. His team drove it from $75,000/employee to $275,000/employee. What are your gross margin dollars per employee? What is your goal by the end of 2021? Make it happen by discussing at your weekly mtg how to make something easier! A 1% improvement each week, compounded, will double your productivity in 12 months.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Bob Penland</author>
  </authors>
  <commentList>
    <comment ref="B9" authorId="0" shapeId="0" xr:uid="{00000000-0006-0000-0200-000001000000}">
      <text>
        <r>
          <rPr>
            <b/>
            <sz val="9"/>
            <color indexed="81"/>
            <rFont val="Tahoma"/>
            <family val="2"/>
          </rPr>
          <t>The total number of reactive tickets created during the quarter.  Reactive tickets are tickets reported by the client or by tools that require human intervention to resolve. 
Do not include tickets for proactive service, vCIO or Network Administration.</t>
        </r>
      </text>
    </comment>
    <comment ref="B10" authorId="0" shapeId="0" xr:uid="{00000000-0006-0000-0200-000002000000}">
      <text>
        <r>
          <rPr>
            <b/>
            <sz val="9"/>
            <color indexed="81"/>
            <rFont val="Tahoma"/>
            <family val="2"/>
          </rPr>
          <t>The total number of reactive tickets closed during the quarter.</t>
        </r>
      </text>
    </comment>
    <comment ref="B15" authorId="0" shapeId="0" xr:uid="{00000000-0006-0000-0200-000003000000}">
      <text>
        <r>
          <rPr>
            <b/>
            <sz val="9"/>
            <color indexed="81"/>
            <rFont val="Tahoma"/>
            <family val="2"/>
          </rPr>
          <t>Total non-recurring technical services billed during the quarter.</t>
        </r>
      </text>
    </comment>
    <comment ref="B16" authorId="0" shapeId="0" xr:uid="{00000000-0006-0000-0200-000004000000}">
      <text>
        <r>
          <rPr>
            <b/>
            <sz val="9"/>
            <color indexed="81"/>
            <rFont val="Tahoma"/>
            <family val="2"/>
          </rPr>
          <t>Total recurring revenue from managed services during the quarter.</t>
        </r>
      </text>
    </comment>
    <comment ref="B17" authorId="0" shapeId="0" xr:uid="{00000000-0006-0000-0200-000005000000}">
      <text>
        <r>
          <rPr>
            <b/>
            <sz val="9"/>
            <color indexed="81"/>
            <rFont val="Tahoma"/>
            <family val="2"/>
          </rPr>
          <t>Total recurring revenue for services that you provide to non-managed service clients.  Examples include "backup only" agreements, "spam filtering only" agreements, "monitoring only" agreements.  All recurring revenue from Managed Service clients should be included in the above MRR row.  ORR is only for clients that are not managed but subscribe to some other recurring service.  This row may be blank for you company depending on the services you offer.</t>
        </r>
      </text>
    </comment>
    <comment ref="B18" authorId="0" shapeId="0" xr:uid="{00000000-0006-0000-0200-000006000000}">
      <text>
        <r>
          <rPr>
            <b/>
            <sz val="9"/>
            <color indexed="81"/>
            <rFont val="Tahoma"/>
            <family val="2"/>
          </rPr>
          <t xml:space="preserve">Product sales include hardware, software, licensing, or warranty purchases.  </t>
        </r>
      </text>
    </comment>
    <comment ref="B19" authorId="0" shapeId="0" xr:uid="{00000000-0006-0000-0200-000007000000}">
      <text>
        <r>
          <rPr>
            <b/>
            <sz val="9"/>
            <color indexed="81"/>
            <rFont val="Tahoma"/>
            <family val="2"/>
          </rPr>
          <t>Miscellaneous revenue would include revenue from other lines of business not related to your managed service.  This might include development work, cabling, etc.</t>
        </r>
      </text>
    </comment>
    <comment ref="B23" authorId="0" shapeId="0" xr:uid="{00000000-0006-0000-0200-000008000000}">
      <text>
        <r>
          <rPr>
            <b/>
            <sz val="9"/>
            <color indexed="81"/>
            <rFont val="Tahoma"/>
            <family val="2"/>
          </rPr>
          <t>Total employee expenses including salary, benefits, etc.  Do not include owners salary in this row.</t>
        </r>
      </text>
    </comment>
    <comment ref="B24" authorId="0" shapeId="0" xr:uid="{F60F546F-377E-4CBF-B822-1560A0FEB40A}">
      <text>
        <r>
          <rPr>
            <b/>
            <sz val="9"/>
            <color indexed="81"/>
            <rFont val="Tahoma"/>
            <family val="2"/>
          </rPr>
          <t>Total employee expenses including salary, benefits, etc.  Do not include owners salary in this row.</t>
        </r>
      </text>
    </comment>
    <comment ref="B25" authorId="0" shapeId="0" xr:uid="{00000000-0006-0000-0200-000009000000}">
      <text>
        <r>
          <rPr>
            <b/>
            <sz val="9"/>
            <color indexed="81"/>
            <rFont val="Tahoma"/>
            <family val="2"/>
          </rPr>
          <t>Owners direct compensation and benefits.</t>
        </r>
      </text>
    </comment>
    <comment ref="B26" authorId="0" shapeId="0" xr:uid="{00000000-0006-0000-0200-00000A000000}">
      <text>
        <r>
          <rPr>
            <b/>
            <sz val="9"/>
            <color indexed="81"/>
            <rFont val="Tahoma"/>
            <family val="2"/>
          </rPr>
          <t>Cost of products sold.</t>
        </r>
      </text>
    </comment>
    <comment ref="B27" authorId="0" shapeId="0" xr:uid="{00000000-0006-0000-0200-00000B000000}">
      <text>
        <r>
          <rPr>
            <b/>
            <sz val="9"/>
            <color indexed="81"/>
            <rFont val="Tahoma"/>
            <family val="2"/>
          </rPr>
          <t>All other expenses including facilities, utilities, training, equipment, etc.</t>
        </r>
      </text>
    </comment>
    <comment ref="B34" authorId="0" shapeId="0" xr:uid="{00000000-0006-0000-0200-00000C000000}">
      <text>
        <r>
          <rPr>
            <b/>
            <sz val="9"/>
            <color indexed="81"/>
            <rFont val="Tahoma"/>
            <family val="2"/>
          </rPr>
          <t>Total number of employees in the company including owners.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Bob Penland</author>
  </authors>
  <commentList>
    <comment ref="B9" authorId="0" shapeId="0" xr:uid="{00000000-0006-0000-0300-000001000000}">
      <text>
        <r>
          <rPr>
            <b/>
            <sz val="9"/>
            <color indexed="81"/>
            <rFont val="Tahoma"/>
            <family val="2"/>
          </rPr>
          <t>The total number of reactive tickets created during the quarter.  Reactive tickets are tickets reported by the client or by tools that require human intervention to resolve. 
Do not include tickets for proactive service, vCIO or Network Administration.</t>
        </r>
      </text>
    </comment>
    <comment ref="B10" authorId="0" shapeId="0" xr:uid="{00000000-0006-0000-0300-000002000000}">
      <text>
        <r>
          <rPr>
            <b/>
            <sz val="9"/>
            <color indexed="81"/>
            <rFont val="Tahoma"/>
            <family val="2"/>
          </rPr>
          <t>The total number of reactive tickets closed during the quarter.</t>
        </r>
      </text>
    </comment>
    <comment ref="B15" authorId="0" shapeId="0" xr:uid="{00000000-0006-0000-0300-000003000000}">
      <text>
        <r>
          <rPr>
            <b/>
            <sz val="9"/>
            <color indexed="81"/>
            <rFont val="Tahoma"/>
            <family val="2"/>
          </rPr>
          <t>Total non-recurring technical services billed during the quarter.</t>
        </r>
      </text>
    </comment>
    <comment ref="B16" authorId="0" shapeId="0" xr:uid="{00000000-0006-0000-0300-000004000000}">
      <text>
        <r>
          <rPr>
            <b/>
            <sz val="9"/>
            <color indexed="81"/>
            <rFont val="Tahoma"/>
            <family val="2"/>
          </rPr>
          <t>Total recurring revenue from managed services during the quarter.</t>
        </r>
      </text>
    </comment>
    <comment ref="B17" authorId="0" shapeId="0" xr:uid="{00000000-0006-0000-0300-000005000000}">
      <text>
        <r>
          <rPr>
            <b/>
            <sz val="9"/>
            <color indexed="81"/>
            <rFont val="Tahoma"/>
            <family val="2"/>
          </rPr>
          <t>Total recurring revenue for services that you provide to non-managed service clients.  Examples include "backup only" agreements, "spam filtering only" agreements, "monitoring only" agreements.  All recurring revenue from Managed Service clients should be included in the above MRR row.  ORR is only for clients that are not managed but subscribe to some other recurring service.  This row may be blank for you company depending on the services you offer.</t>
        </r>
      </text>
    </comment>
    <comment ref="B18" authorId="0" shapeId="0" xr:uid="{00000000-0006-0000-0300-000006000000}">
      <text>
        <r>
          <rPr>
            <b/>
            <sz val="9"/>
            <color indexed="81"/>
            <rFont val="Tahoma"/>
            <family val="2"/>
          </rPr>
          <t xml:space="preserve">Product sales include hardware, software, licensing, or warranty purchases.  </t>
        </r>
      </text>
    </comment>
    <comment ref="B19" authorId="0" shapeId="0" xr:uid="{00000000-0006-0000-0300-000007000000}">
      <text>
        <r>
          <rPr>
            <b/>
            <sz val="9"/>
            <color indexed="81"/>
            <rFont val="Tahoma"/>
            <family val="2"/>
          </rPr>
          <t>Miscellaneous revenue would include revenue from other lines of business not related to your managed service.  This might include development work, cabling, etc.</t>
        </r>
      </text>
    </comment>
    <comment ref="B23" authorId="0" shapeId="0" xr:uid="{00000000-0006-0000-0300-000008000000}">
      <text>
        <r>
          <rPr>
            <b/>
            <sz val="9"/>
            <color indexed="81"/>
            <rFont val="Tahoma"/>
            <family val="2"/>
          </rPr>
          <t>Total employee expenses including salary, benefits, etc.  Do not include owners salary in this row.</t>
        </r>
      </text>
    </comment>
    <comment ref="B24" authorId="0" shapeId="0" xr:uid="{00000000-0006-0000-0300-000009000000}">
      <text>
        <r>
          <rPr>
            <b/>
            <sz val="9"/>
            <color indexed="81"/>
            <rFont val="Tahoma"/>
            <family val="2"/>
          </rPr>
          <t>Owners direct compensation and benefits.</t>
        </r>
      </text>
    </comment>
    <comment ref="B25" authorId="0" shapeId="0" xr:uid="{00000000-0006-0000-0300-00000A000000}">
      <text>
        <r>
          <rPr>
            <b/>
            <sz val="9"/>
            <color indexed="81"/>
            <rFont val="Tahoma"/>
            <family val="2"/>
          </rPr>
          <t>Cost of products sold.</t>
        </r>
      </text>
    </comment>
    <comment ref="B26" authorId="0" shapeId="0" xr:uid="{00000000-0006-0000-0300-00000B000000}">
      <text>
        <r>
          <rPr>
            <b/>
            <sz val="9"/>
            <color indexed="81"/>
            <rFont val="Tahoma"/>
            <family val="2"/>
          </rPr>
          <t>All other expenses including facilities, utilities, training, equipment, etc.</t>
        </r>
      </text>
    </comment>
    <comment ref="B33" authorId="0" shapeId="0" xr:uid="{00000000-0006-0000-0300-00000C000000}">
      <text>
        <r>
          <rPr>
            <b/>
            <sz val="9"/>
            <color indexed="81"/>
            <rFont val="Tahoma"/>
            <family val="2"/>
          </rPr>
          <t>Total number of employees in the company including owners.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Bob Penland</author>
  </authors>
  <commentList>
    <comment ref="A8" authorId="0" shapeId="0" xr:uid="{00000000-0006-0000-0400-000001000000}">
      <text>
        <r>
          <rPr>
            <b/>
            <sz val="9"/>
            <color indexed="81"/>
            <rFont val="Tahoma"/>
            <family val="2"/>
          </rPr>
          <t>Per technical resource, how many reactive tickets are being closed per month.</t>
        </r>
      </text>
    </comment>
    <comment ref="A9" authorId="0" shapeId="0" xr:uid="{00000000-0006-0000-0400-000002000000}">
      <text>
        <r>
          <rPr>
            <b/>
            <sz val="9"/>
            <color indexed="81"/>
            <rFont val="Tahoma"/>
            <family val="2"/>
          </rPr>
          <t>As a percentage, the ration of closed tickets to open tickets in a given quarter.  If this percentage is less than 100% that means that there were more opened tickets than closed tickets in a quarter.  If it's higher than 100% then there were more closed tickets than open tickets.  
Look for trends with this number.  If you are under 100% for several quarters in a row that could indicate there is a backlog of work that is never getting done.</t>
        </r>
      </text>
    </comment>
    <comment ref="A10" authorId="0" shapeId="0" xr:uid="{00000000-0006-0000-0400-000003000000}">
      <text>
        <r>
          <rPr>
            <b/>
            <sz val="9"/>
            <color indexed="81"/>
            <rFont val="Tahoma"/>
            <family val="2"/>
          </rPr>
          <t>The number of new reactive tickets per month per endpoint supported.  This metric is very important to gauge the effectiveness of your proactive services.</t>
        </r>
      </text>
    </comment>
    <comment ref="A11" authorId="0" shapeId="0" xr:uid="{00000000-0006-0000-0400-000004000000}">
      <text>
        <r>
          <rPr>
            <b/>
            <sz val="9"/>
            <color indexed="81"/>
            <rFont val="Tahoma"/>
            <family val="2"/>
          </rPr>
          <t>The average number of hours spent on reactive service per month per endpoint.</t>
        </r>
      </text>
    </comment>
    <comment ref="A12" authorId="0" shapeId="0" xr:uid="{00000000-0006-0000-0400-000005000000}">
      <text>
        <r>
          <rPr>
            <b/>
            <sz val="9"/>
            <color indexed="81"/>
            <rFont val="Tahoma"/>
            <family val="2"/>
          </rPr>
          <t>The average amount of time (in hours) it takes to resolve a reactive service request.</t>
        </r>
      </text>
    </comment>
    <comment ref="A13" authorId="0" shapeId="0" xr:uid="{00000000-0006-0000-0400-000006000000}">
      <text>
        <r>
          <rPr>
            <b/>
            <sz val="9"/>
            <color indexed="81"/>
            <rFont val="Tahoma"/>
            <family val="2"/>
          </rPr>
          <t>The percentage of your engineer time that is spent doing reactive service.</t>
        </r>
      </text>
    </comment>
    <comment ref="A15" authorId="0" shapeId="0" xr:uid="{00000000-0006-0000-0400-000007000000}">
      <text>
        <r>
          <rPr>
            <b/>
            <sz val="9"/>
            <color indexed="81"/>
            <rFont val="Tahoma"/>
            <family val="2"/>
          </rPr>
          <t>The target is between 18% and 35% true net profit</t>
        </r>
      </text>
    </comment>
    <comment ref="A18" authorId="0" shapeId="0" xr:uid="{00000000-0006-0000-0400-000008000000}">
      <text>
        <r>
          <rPr>
            <b/>
            <sz val="9"/>
            <color indexed="81"/>
            <rFont val="Tahoma"/>
            <family val="2"/>
          </rPr>
          <t>Between 50% and 80% revenue from services</t>
        </r>
      </text>
    </comment>
    <comment ref="A19" authorId="0" shapeId="0" xr:uid="{00000000-0006-0000-0400-000009000000}">
      <text>
        <r>
          <rPr>
            <b/>
            <sz val="9"/>
            <color indexed="81"/>
            <rFont val="Tahoma"/>
            <family val="2"/>
          </rPr>
          <t xml:space="preserve">Between 50% and 80% revenue from MRR.  The target is 70%.
</t>
        </r>
      </text>
    </comment>
    <comment ref="A22" authorId="0" shapeId="0" xr:uid="{00000000-0006-0000-0400-00000A000000}">
      <text>
        <r>
          <rPr>
            <b/>
            <sz val="9"/>
            <color indexed="81"/>
            <rFont val="Tahoma"/>
            <family val="2"/>
          </rPr>
          <t>Target is $150,000 / year in annualized service revenue per employee</t>
        </r>
      </text>
    </comment>
    <comment ref="A23" authorId="0" shapeId="0" xr:uid="{00000000-0006-0000-0400-00000B000000}">
      <text>
        <r>
          <rPr>
            <b/>
            <sz val="9"/>
            <color indexed="81"/>
            <rFont val="Tahoma"/>
            <family val="2"/>
          </rPr>
          <t>Target is $250,000 / year in annualized service revenue per technical employee</t>
        </r>
      </text>
    </comment>
    <comment ref="A24" authorId="0" shapeId="0" xr:uid="{00000000-0006-0000-0400-00000C000000}">
      <text>
        <r>
          <rPr>
            <b/>
            <sz val="9"/>
            <color indexed="81"/>
            <rFont val="Tahoma"/>
            <family val="2"/>
          </rPr>
          <t>The target range is between $100 and $150.  The variance is based on the services you provide that are bundled into your offering.</t>
        </r>
      </text>
    </comment>
    <comment ref="A25" authorId="0" shapeId="0" xr:uid="{00000000-0006-0000-0400-00000D000000}">
      <text>
        <r>
          <rPr>
            <b/>
            <sz val="9"/>
            <color indexed="81"/>
            <rFont val="Tahoma"/>
            <family val="2"/>
          </rPr>
          <t xml:space="preserve">The target range is between $1800 and $3000.  This is balanced with your Average AISP.
</t>
        </r>
      </text>
    </comment>
    <comment ref="A31" authorId="0" shapeId="0" xr:uid="{00000000-0006-0000-0400-00000E000000}">
      <text>
        <r>
          <rPr>
            <b/>
            <sz val="9"/>
            <color indexed="81"/>
            <rFont val="Tahoma"/>
            <family val="2"/>
          </rPr>
          <t>Target is 80 dials per day per full time resource with the range between 60 and 100</t>
        </r>
      </text>
    </comment>
    <comment ref="A33" authorId="0" shapeId="0" xr:uid="{00000000-0006-0000-0400-00000F000000}">
      <text>
        <r>
          <rPr>
            <b/>
            <sz val="9"/>
            <color indexed="81"/>
            <rFont val="Tahoma"/>
            <family val="2"/>
          </rPr>
          <t xml:space="preserve">The target is between 15% and 30% close ratio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Bob Penland</author>
  </authors>
  <commentList>
    <comment ref="A8" authorId="0" shapeId="0" xr:uid="{00000000-0006-0000-0500-000001000000}">
      <text>
        <r>
          <rPr>
            <b/>
            <sz val="9"/>
            <color indexed="81"/>
            <rFont val="Tahoma"/>
            <family val="2"/>
          </rPr>
          <t>Per technical resource, how many reactive tickets are being closed per month.</t>
        </r>
      </text>
    </comment>
    <comment ref="A9" authorId="0" shapeId="0" xr:uid="{00000000-0006-0000-0500-000002000000}">
      <text>
        <r>
          <rPr>
            <b/>
            <sz val="9"/>
            <color indexed="81"/>
            <rFont val="Tahoma"/>
            <family val="2"/>
          </rPr>
          <t>As a percentage, the ration of closed tickets to open tickets in a given quarter.  If this percentage is less than 100% that means that there were more opened tickets than closed tickets in a quarter.  If it's higher than 100% then there were more closed tickets than open tickets.  
Look for trends with this number.  If you are under 100% for several quarters in a row that could indicate there is a backlog of work that is never getting done.</t>
        </r>
      </text>
    </comment>
    <comment ref="A10" authorId="0" shapeId="0" xr:uid="{00000000-0006-0000-0500-000003000000}">
      <text>
        <r>
          <rPr>
            <b/>
            <sz val="9"/>
            <color indexed="81"/>
            <rFont val="Tahoma"/>
            <family val="2"/>
          </rPr>
          <t>The number of new reactive tickets per month per endpoint supported.  This metric is very important to gauge the effectiveness of your proactive services.</t>
        </r>
      </text>
    </comment>
    <comment ref="A11" authorId="0" shapeId="0" xr:uid="{00000000-0006-0000-0500-000004000000}">
      <text>
        <r>
          <rPr>
            <b/>
            <sz val="9"/>
            <color indexed="81"/>
            <rFont val="Tahoma"/>
            <family val="2"/>
          </rPr>
          <t>The average number of hours spent on reactive service per month per endpoint.</t>
        </r>
      </text>
    </comment>
    <comment ref="A12" authorId="0" shapeId="0" xr:uid="{00000000-0006-0000-0500-000005000000}">
      <text>
        <r>
          <rPr>
            <b/>
            <sz val="9"/>
            <color indexed="81"/>
            <rFont val="Tahoma"/>
            <family val="2"/>
          </rPr>
          <t>The average amount of time (in hours) it takes to resolve a reactive service request.</t>
        </r>
      </text>
    </comment>
    <comment ref="A13" authorId="0" shapeId="0" xr:uid="{00000000-0006-0000-0500-000006000000}">
      <text>
        <r>
          <rPr>
            <b/>
            <sz val="9"/>
            <color indexed="81"/>
            <rFont val="Tahoma"/>
            <family val="2"/>
          </rPr>
          <t>The percentage of your engineer time that is spent doing reactive service.</t>
        </r>
      </text>
    </comment>
    <comment ref="A15" authorId="0" shapeId="0" xr:uid="{00000000-0006-0000-0500-000007000000}">
      <text>
        <r>
          <rPr>
            <b/>
            <sz val="9"/>
            <color indexed="81"/>
            <rFont val="Tahoma"/>
            <family val="2"/>
          </rPr>
          <t>The target is between 18% and 35% true net profit</t>
        </r>
      </text>
    </comment>
    <comment ref="A18" authorId="0" shapeId="0" xr:uid="{00000000-0006-0000-0500-000008000000}">
      <text>
        <r>
          <rPr>
            <b/>
            <sz val="9"/>
            <color indexed="81"/>
            <rFont val="Tahoma"/>
            <family val="2"/>
          </rPr>
          <t>Between 50% and 80% revenue from services</t>
        </r>
      </text>
    </comment>
    <comment ref="A19" authorId="0" shapeId="0" xr:uid="{00000000-0006-0000-0500-000009000000}">
      <text>
        <r>
          <rPr>
            <b/>
            <sz val="9"/>
            <color indexed="81"/>
            <rFont val="Tahoma"/>
            <family val="2"/>
          </rPr>
          <t xml:space="preserve">Between 50% and 80% revenue from MRR.  The target is 70%.
</t>
        </r>
      </text>
    </comment>
    <comment ref="A22" authorId="0" shapeId="0" xr:uid="{00000000-0006-0000-0500-00000A000000}">
      <text>
        <r>
          <rPr>
            <b/>
            <sz val="9"/>
            <color indexed="81"/>
            <rFont val="Tahoma"/>
            <family val="2"/>
          </rPr>
          <t>Target is $150,000 / year in annualized service revenue per employee</t>
        </r>
      </text>
    </comment>
    <comment ref="A23" authorId="0" shapeId="0" xr:uid="{00000000-0006-0000-0500-00000B000000}">
      <text>
        <r>
          <rPr>
            <b/>
            <sz val="9"/>
            <color indexed="81"/>
            <rFont val="Tahoma"/>
            <family val="2"/>
          </rPr>
          <t>Target is $250,000 / year in annualized service revenue per technical employee</t>
        </r>
      </text>
    </comment>
    <comment ref="A24" authorId="0" shapeId="0" xr:uid="{00000000-0006-0000-0500-00000C000000}">
      <text>
        <r>
          <rPr>
            <b/>
            <sz val="9"/>
            <color indexed="81"/>
            <rFont val="Tahoma"/>
            <family val="2"/>
          </rPr>
          <t>The target range is between $100 and $150.  The variance is based on the services you provide that are bundled into your offering.</t>
        </r>
      </text>
    </comment>
    <comment ref="A25" authorId="0" shapeId="0" xr:uid="{00000000-0006-0000-0500-00000D000000}">
      <text>
        <r>
          <rPr>
            <b/>
            <sz val="9"/>
            <color indexed="81"/>
            <rFont val="Tahoma"/>
            <family val="2"/>
          </rPr>
          <t xml:space="preserve">The target range is between $1800 and $3000.  This is balanced with your Average AISP.
</t>
        </r>
      </text>
    </comment>
    <comment ref="A31" authorId="0" shapeId="0" xr:uid="{00000000-0006-0000-0500-00000E000000}">
      <text>
        <r>
          <rPr>
            <b/>
            <sz val="9"/>
            <color indexed="81"/>
            <rFont val="Tahoma"/>
            <family val="2"/>
          </rPr>
          <t>Target is 80 dials per day per full time resource with the range between 60 and 100</t>
        </r>
      </text>
    </comment>
    <comment ref="A33" authorId="0" shapeId="0" xr:uid="{00000000-0006-0000-0500-00000F000000}">
      <text>
        <r>
          <rPr>
            <b/>
            <sz val="9"/>
            <color indexed="81"/>
            <rFont val="Tahoma"/>
            <family val="2"/>
          </rPr>
          <t xml:space="preserve">The target is between 15% and 30% close ratio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Bob Penland</author>
  </authors>
  <commentList>
    <comment ref="A8" authorId="0" shapeId="0" xr:uid="{00000000-0006-0000-0600-000001000000}">
      <text>
        <r>
          <rPr>
            <b/>
            <sz val="9"/>
            <color indexed="81"/>
            <rFont val="Tahoma"/>
            <family val="2"/>
          </rPr>
          <t>Per technical resource, how many reactive tickets are being closed per month.</t>
        </r>
      </text>
    </comment>
    <comment ref="A9" authorId="0" shapeId="0" xr:uid="{00000000-0006-0000-0600-000002000000}">
      <text>
        <r>
          <rPr>
            <b/>
            <sz val="9"/>
            <color indexed="81"/>
            <rFont val="Tahoma"/>
            <family val="2"/>
          </rPr>
          <t>As a percentage, the ration of closed tickets to open tickets in a given quarter.  If this percentage is less than 100% that means that there were more opened tickets than closed tickets in a quarter.  If it's higher than 100% then there were more closed tickets than open tickets.  
Look for trends with this number.  If you are under 100% for several quarters in a row that could indicate there is a backlog of work that is never getting done.</t>
        </r>
      </text>
    </comment>
    <comment ref="A10" authorId="0" shapeId="0" xr:uid="{00000000-0006-0000-0600-000003000000}">
      <text>
        <r>
          <rPr>
            <b/>
            <sz val="9"/>
            <color indexed="81"/>
            <rFont val="Tahoma"/>
            <family val="2"/>
          </rPr>
          <t>The number of new reactive tickets per month per endpoint supported.  This metric is very important to gauge the effectiveness of your proactive services.</t>
        </r>
      </text>
    </comment>
    <comment ref="A11" authorId="0" shapeId="0" xr:uid="{00000000-0006-0000-0600-000004000000}">
      <text>
        <r>
          <rPr>
            <b/>
            <sz val="9"/>
            <color indexed="81"/>
            <rFont val="Tahoma"/>
            <family val="2"/>
          </rPr>
          <t>The average number of hours spent on reactive service per month per endpoint.</t>
        </r>
      </text>
    </comment>
    <comment ref="A12" authorId="0" shapeId="0" xr:uid="{00000000-0006-0000-0600-000005000000}">
      <text>
        <r>
          <rPr>
            <b/>
            <sz val="9"/>
            <color indexed="81"/>
            <rFont val="Tahoma"/>
            <family val="2"/>
          </rPr>
          <t>The average amount of time (in hours) it takes to resolve a reactive service request.</t>
        </r>
      </text>
    </comment>
    <comment ref="A13" authorId="0" shapeId="0" xr:uid="{00000000-0006-0000-0600-000006000000}">
      <text>
        <r>
          <rPr>
            <b/>
            <sz val="9"/>
            <color indexed="81"/>
            <rFont val="Tahoma"/>
            <family val="2"/>
          </rPr>
          <t>The percentage of your engineer time that is spent doing reactive service.</t>
        </r>
      </text>
    </comment>
    <comment ref="A15" authorId="0" shapeId="0" xr:uid="{00000000-0006-0000-0600-000007000000}">
      <text>
        <r>
          <rPr>
            <b/>
            <sz val="9"/>
            <color indexed="81"/>
            <rFont val="Tahoma"/>
            <family val="2"/>
          </rPr>
          <t>The target is between 18% and 35% true net profit</t>
        </r>
      </text>
    </comment>
    <comment ref="A18" authorId="0" shapeId="0" xr:uid="{00000000-0006-0000-0600-000008000000}">
      <text>
        <r>
          <rPr>
            <b/>
            <sz val="9"/>
            <color indexed="81"/>
            <rFont val="Tahoma"/>
            <family val="2"/>
          </rPr>
          <t>Between 50% and 80% revenue from services</t>
        </r>
      </text>
    </comment>
    <comment ref="A19" authorId="0" shapeId="0" xr:uid="{00000000-0006-0000-0600-000009000000}">
      <text>
        <r>
          <rPr>
            <b/>
            <sz val="9"/>
            <color indexed="81"/>
            <rFont val="Tahoma"/>
            <family val="2"/>
          </rPr>
          <t xml:space="preserve">Between 50% and 80% revenue from MRR.  The target is 70%.
</t>
        </r>
      </text>
    </comment>
    <comment ref="A22" authorId="0" shapeId="0" xr:uid="{00000000-0006-0000-0600-00000A000000}">
      <text>
        <r>
          <rPr>
            <b/>
            <sz val="9"/>
            <color indexed="81"/>
            <rFont val="Tahoma"/>
            <family val="2"/>
          </rPr>
          <t>Target is $150,000 / year in annualized service revenue per employee</t>
        </r>
      </text>
    </comment>
    <comment ref="A23" authorId="0" shapeId="0" xr:uid="{00000000-0006-0000-0600-00000B000000}">
      <text>
        <r>
          <rPr>
            <b/>
            <sz val="9"/>
            <color indexed="81"/>
            <rFont val="Tahoma"/>
            <family val="2"/>
          </rPr>
          <t>Target is $250,000 / year in annualized service revenue per technical employee</t>
        </r>
      </text>
    </comment>
    <comment ref="A24" authorId="0" shapeId="0" xr:uid="{00000000-0006-0000-0600-00000C000000}">
      <text>
        <r>
          <rPr>
            <b/>
            <sz val="9"/>
            <color indexed="81"/>
            <rFont val="Tahoma"/>
            <family val="2"/>
          </rPr>
          <t>The target range is between $100 and $150.  The variance is based on the services you provide that are bundled into your offering.</t>
        </r>
      </text>
    </comment>
    <comment ref="A25" authorId="0" shapeId="0" xr:uid="{00000000-0006-0000-0600-00000D000000}">
      <text>
        <r>
          <rPr>
            <b/>
            <sz val="9"/>
            <color indexed="81"/>
            <rFont val="Tahoma"/>
            <family val="2"/>
          </rPr>
          <t xml:space="preserve">The target range is between $1800 and $3000.  This is balanced with your Average AISP.
</t>
        </r>
      </text>
    </comment>
    <comment ref="A31" authorId="0" shapeId="0" xr:uid="{00000000-0006-0000-0600-00000E000000}">
      <text>
        <r>
          <rPr>
            <b/>
            <sz val="9"/>
            <color indexed="81"/>
            <rFont val="Tahoma"/>
            <family val="2"/>
          </rPr>
          <t>Target is 80 dials per day per full time resource with the range between 60 and 100</t>
        </r>
      </text>
    </comment>
    <comment ref="A33" authorId="0" shapeId="0" xr:uid="{00000000-0006-0000-0600-00000F000000}">
      <text>
        <r>
          <rPr>
            <b/>
            <sz val="9"/>
            <color indexed="81"/>
            <rFont val="Tahoma"/>
            <family val="2"/>
          </rPr>
          <t xml:space="preserve">The target is between 15% and 30% close ratio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Bob Penland</author>
  </authors>
  <commentList>
    <comment ref="B9" authorId="0" shapeId="0" xr:uid="{00000000-0006-0000-0700-000001000000}">
      <text>
        <r>
          <rPr>
            <b/>
            <sz val="9"/>
            <color indexed="81"/>
            <rFont val="Tahoma"/>
            <family val="2"/>
          </rPr>
          <t>The total number of reactive tickets created during the quarter.  Reactive tickets are tickets reported by the client or by tools that require human intervention to resolve. 
Do not include tickets for proactive service, vCIO or Network Administration.</t>
        </r>
      </text>
    </comment>
    <comment ref="B10" authorId="0" shapeId="0" xr:uid="{00000000-0006-0000-0700-000002000000}">
      <text>
        <r>
          <rPr>
            <b/>
            <sz val="9"/>
            <color indexed="81"/>
            <rFont val="Tahoma"/>
            <family val="2"/>
          </rPr>
          <t>The total number of reactive tickets closed during the quarter.</t>
        </r>
      </text>
    </comment>
    <comment ref="B15" authorId="0" shapeId="0" xr:uid="{00000000-0006-0000-0700-000003000000}">
      <text>
        <r>
          <rPr>
            <b/>
            <sz val="9"/>
            <color indexed="81"/>
            <rFont val="Tahoma"/>
            <family val="2"/>
          </rPr>
          <t>Total non-recurring technical services billed during the quarter.</t>
        </r>
      </text>
    </comment>
    <comment ref="B16" authorId="0" shapeId="0" xr:uid="{00000000-0006-0000-0700-000004000000}">
      <text>
        <r>
          <rPr>
            <b/>
            <sz val="9"/>
            <color indexed="81"/>
            <rFont val="Tahoma"/>
            <family val="2"/>
          </rPr>
          <t>Total recurring revenue from managed services during the quarter.</t>
        </r>
      </text>
    </comment>
    <comment ref="B17" authorId="0" shapeId="0" xr:uid="{00000000-0006-0000-0700-000005000000}">
      <text>
        <r>
          <rPr>
            <b/>
            <sz val="9"/>
            <color indexed="81"/>
            <rFont val="Tahoma"/>
            <family val="2"/>
          </rPr>
          <t>Total recurring revenue for services that you provide to non-managed service clients.  Examples include "backup only" agreements, "spam filtering only" agreements, "monitoring only" agreements.  All recurring revenue from Managed Service clients should be included in the above MRR row.  ORR is only for clients that are not managed but subscribe to some other recurring service.  This row may be blank for you company depending on the services you offer.</t>
        </r>
      </text>
    </comment>
    <comment ref="B18" authorId="0" shapeId="0" xr:uid="{00000000-0006-0000-0700-000006000000}">
      <text>
        <r>
          <rPr>
            <b/>
            <sz val="9"/>
            <color indexed="81"/>
            <rFont val="Tahoma"/>
            <family val="2"/>
          </rPr>
          <t xml:space="preserve">Product sales include hardware, software, licensing, or warranty purchases.  </t>
        </r>
      </text>
    </comment>
    <comment ref="B19" authorId="0" shapeId="0" xr:uid="{00000000-0006-0000-0700-000007000000}">
      <text>
        <r>
          <rPr>
            <b/>
            <sz val="9"/>
            <color indexed="81"/>
            <rFont val="Tahoma"/>
            <family val="2"/>
          </rPr>
          <t>Miscellaneous revenue would include revenue from other lines of business not related to your managed service.  This might include development work, cabling, etc.</t>
        </r>
      </text>
    </comment>
    <comment ref="B23" authorId="0" shapeId="0" xr:uid="{00000000-0006-0000-0700-000008000000}">
      <text>
        <r>
          <rPr>
            <b/>
            <sz val="9"/>
            <color indexed="81"/>
            <rFont val="Tahoma"/>
            <family val="2"/>
          </rPr>
          <t>Total employee expenses including salary, benefits, etc.  Do not include owners salary in this row.</t>
        </r>
      </text>
    </comment>
    <comment ref="B24" authorId="0" shapeId="0" xr:uid="{00000000-0006-0000-0700-000009000000}">
      <text>
        <r>
          <rPr>
            <b/>
            <sz val="9"/>
            <color indexed="81"/>
            <rFont val="Tahoma"/>
            <family val="2"/>
          </rPr>
          <t>Owners direct compensation and benefits.</t>
        </r>
      </text>
    </comment>
    <comment ref="B25" authorId="0" shapeId="0" xr:uid="{BC24692D-1881-438D-A712-2BD73D9D47F1}">
      <text>
        <r>
          <rPr>
            <b/>
            <sz val="9"/>
            <color indexed="81"/>
            <rFont val="Tahoma"/>
            <family val="2"/>
          </rPr>
          <t>Owners direct compensation and benefits.</t>
        </r>
      </text>
    </comment>
    <comment ref="B26" authorId="0" shapeId="0" xr:uid="{00000000-0006-0000-0700-00000A000000}">
      <text>
        <r>
          <rPr>
            <b/>
            <sz val="9"/>
            <color indexed="81"/>
            <rFont val="Tahoma"/>
            <family val="2"/>
          </rPr>
          <t>Cost of products sold.</t>
        </r>
      </text>
    </comment>
    <comment ref="B27" authorId="0" shapeId="0" xr:uid="{00000000-0006-0000-0700-00000B000000}">
      <text>
        <r>
          <rPr>
            <b/>
            <sz val="9"/>
            <color indexed="81"/>
            <rFont val="Tahoma"/>
            <family val="2"/>
          </rPr>
          <t>All other expenses including facilities, utilities, training, equipment, etc.</t>
        </r>
      </text>
    </comment>
    <comment ref="B34" authorId="0" shapeId="0" xr:uid="{00000000-0006-0000-0700-00000C000000}">
      <text>
        <r>
          <rPr>
            <b/>
            <sz val="9"/>
            <color indexed="81"/>
            <rFont val="Tahoma"/>
            <family val="2"/>
          </rPr>
          <t>Total number of employees in the company including owners.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Bob Penland</author>
    <author>J. Michele Miller</author>
  </authors>
  <commentList>
    <comment ref="B9" authorId="0" shapeId="0" xr:uid="{A6791BF0-F111-4DEF-83CB-2FC5D04EB293}">
      <text>
        <r>
          <rPr>
            <b/>
            <sz val="9"/>
            <color indexed="81"/>
            <rFont val="Tahoma"/>
            <family val="2"/>
          </rPr>
          <t>The total number of reactive tickets created during the quarter.  Reactive tickets are tickets reported by the client or by tools that require human intervention to resolve. 
Do not include tickets for proactive service, vCIO or Network Administration.</t>
        </r>
      </text>
    </comment>
    <comment ref="B10" authorId="0" shapeId="0" xr:uid="{B2B5409F-D5EA-4C59-9A33-493ADE05B8C2}">
      <text>
        <r>
          <rPr>
            <b/>
            <sz val="9"/>
            <color indexed="81"/>
            <rFont val="Tahoma"/>
            <family val="2"/>
          </rPr>
          <t>The total number of reactive tickets closed during the quarter.</t>
        </r>
      </text>
    </comment>
    <comment ref="B15" authorId="0" shapeId="0" xr:uid="{3FA8BBA3-606A-456F-9AC7-B7AF996C16F4}">
      <text>
        <r>
          <rPr>
            <b/>
            <sz val="9"/>
            <color indexed="81"/>
            <rFont val="Tahoma"/>
            <family val="2"/>
          </rPr>
          <t>Total non-recurring technical services billed during the quarter.</t>
        </r>
      </text>
    </comment>
    <comment ref="B16" authorId="0" shapeId="0" xr:uid="{0A8FFC19-733A-4E94-B2E3-D0FD4A5B07FA}">
      <text>
        <r>
          <rPr>
            <b/>
            <sz val="9"/>
            <color indexed="81"/>
            <rFont val="Tahoma"/>
            <family val="2"/>
          </rPr>
          <t>Total recurring revenue from managed services during the quarter.</t>
        </r>
      </text>
    </comment>
    <comment ref="N16" authorId="1" shapeId="0" xr:uid="{4C4E1202-DC0E-4900-8206-C92CBAA76D52}">
      <text>
        <r>
          <rPr>
            <b/>
            <sz val="9"/>
            <color indexed="81"/>
            <rFont val="Tahoma"/>
            <family val="2"/>
          </rPr>
          <t>J. Michele Miller:</t>
        </r>
        <r>
          <rPr>
            <sz val="9"/>
            <color indexed="81"/>
            <rFont val="Tahoma"/>
            <family val="2"/>
          </rPr>
          <t xml:space="preserve">
Chillco $5298.70 discount</t>
        </r>
      </text>
    </comment>
    <comment ref="A17" authorId="1" shapeId="0" xr:uid="{2AF5CA14-01B2-4E74-B7CA-517EAD5A549F}">
      <text>
        <r>
          <rPr>
            <b/>
            <sz val="9"/>
            <color indexed="81"/>
            <rFont val="Tahoma"/>
            <family val="2"/>
          </rPr>
          <t>J. Michele Miller:</t>
        </r>
        <r>
          <rPr>
            <sz val="9"/>
            <color indexed="81"/>
            <rFont val="Tahoma"/>
            <family val="2"/>
          </rPr>
          <t xml:space="preserve">
hosting, SAS, S2S, Nextive, Telarus
</t>
        </r>
      </text>
    </comment>
    <comment ref="B17" authorId="0" shapeId="0" xr:uid="{80C9E50D-AF6B-4404-B40D-FD72772C15DA}">
      <text>
        <r>
          <rPr>
            <b/>
            <sz val="9"/>
            <color indexed="81"/>
            <rFont val="Tahoma"/>
            <family val="2"/>
          </rPr>
          <t>Total recurring revenue for services that you provide to non-managed service clients.  Examples include "backup only" agreements, "spam filtering only" agreements, "monitoring only" agreements.  All recurring revenue from Managed Service clients should be included in the above MRR row.  ORR is only for clients that are not managed but subscribe to some other recurring service.  This row may be blank for you company depending on the services you offer.</t>
        </r>
      </text>
    </comment>
    <comment ref="B18" authorId="0" shapeId="0" xr:uid="{21DE3010-1BEB-48BC-9DCE-87480AA690EB}">
      <text>
        <r>
          <rPr>
            <b/>
            <sz val="9"/>
            <color indexed="81"/>
            <rFont val="Tahoma"/>
            <family val="2"/>
          </rPr>
          <t xml:space="preserve">Product sales include hardware, software, licensing, or warranty purchases.  </t>
        </r>
      </text>
    </comment>
    <comment ref="B19" authorId="0" shapeId="0" xr:uid="{E3BD62B5-4C64-4542-924D-FE990D538043}">
      <text>
        <r>
          <rPr>
            <b/>
            <sz val="9"/>
            <color indexed="81"/>
            <rFont val="Tahoma"/>
            <family val="2"/>
          </rPr>
          <t>Miscellaneous revenue would include revenue from other lines of business not related to your managed service.  This might include development work, cabling, etc.</t>
        </r>
      </text>
    </comment>
    <comment ref="B23" authorId="0" shapeId="0" xr:uid="{91112A91-F2EB-45BC-BDE9-CB23AE1AD115}">
      <text>
        <r>
          <rPr>
            <b/>
            <sz val="9"/>
            <color indexed="81"/>
            <rFont val="Tahoma"/>
            <family val="2"/>
          </rPr>
          <t>Total employee expenses including salary, benefits, etc.  Do not include owners salary in this row.</t>
        </r>
      </text>
    </comment>
    <comment ref="B24" authorId="0" shapeId="0" xr:uid="{A0A9FACC-F327-46CD-ACD3-716569EECDB9}">
      <text>
        <r>
          <rPr>
            <b/>
            <sz val="9"/>
            <color indexed="81"/>
            <rFont val="Tahoma"/>
            <family val="2"/>
          </rPr>
          <t>Total employee expenses including salary, benefits, etc.  Do not include owners salary in this row.</t>
        </r>
      </text>
    </comment>
    <comment ref="B25" authorId="0" shapeId="0" xr:uid="{AFC02E65-7267-4C56-B093-DF4B9C3EF9F1}">
      <text>
        <r>
          <rPr>
            <b/>
            <sz val="9"/>
            <color indexed="81"/>
            <rFont val="Tahoma"/>
            <family val="2"/>
          </rPr>
          <t>Owners direct compensation and benefits.</t>
        </r>
      </text>
    </comment>
    <comment ref="N25" authorId="1" shapeId="0" xr:uid="{725FB0D3-EC74-4768-8CD4-776A872148BE}">
      <text>
        <r>
          <rPr>
            <b/>
            <sz val="9"/>
            <color indexed="81"/>
            <rFont val="Tahoma"/>
            <family val="2"/>
          </rPr>
          <t>J. Michele Miller:</t>
        </r>
        <r>
          <rPr>
            <sz val="9"/>
            <color indexed="81"/>
            <rFont val="Tahoma"/>
            <family val="2"/>
          </rPr>
          <t xml:space="preserve">
Therese and Patrick $24,000 total  $12K each
</t>
        </r>
      </text>
    </comment>
    <comment ref="B26" authorId="0" shapeId="0" xr:uid="{C0088581-6011-4F57-A1F5-7C28A684182A}">
      <text>
        <r>
          <rPr>
            <b/>
            <sz val="9"/>
            <color indexed="81"/>
            <rFont val="Tahoma"/>
            <family val="2"/>
          </rPr>
          <t>Cost of products sold.</t>
        </r>
      </text>
    </comment>
    <comment ref="D26" authorId="1" shapeId="0" xr:uid="{097B45EE-C017-4DA7-8D0E-57ABC07AC9D6}">
      <text>
        <r>
          <rPr>
            <b/>
            <sz val="9"/>
            <color indexed="81"/>
            <rFont val="Tahoma"/>
            <family val="2"/>
          </rPr>
          <t>J. Michele Miller:</t>
        </r>
        <r>
          <rPr>
            <sz val="9"/>
            <color indexed="81"/>
            <rFont val="Tahoma"/>
            <family val="2"/>
          </rPr>
          <t xml:space="preserve">
$48109.38 Feb Microsoft annual subscription costs added to keep from being lumpy
</t>
        </r>
      </text>
    </comment>
    <comment ref="E26" authorId="1" shapeId="0" xr:uid="{E203FB93-F30F-482C-870D-76D3237EDD5D}">
      <text>
        <r>
          <rPr>
            <b/>
            <sz val="9"/>
            <color indexed="81"/>
            <rFont val="Tahoma"/>
            <family val="2"/>
          </rPr>
          <t>J. Michele Miller:</t>
        </r>
        <r>
          <rPr>
            <sz val="9"/>
            <color indexed="81"/>
            <rFont val="Tahoma"/>
            <family val="2"/>
          </rPr>
          <t xml:space="preserve">
$48109.38 Feb Microsoft annual subscription costs subtracted to keep from being lumpy
</t>
        </r>
      </text>
    </comment>
    <comment ref="B27" authorId="0" shapeId="0" xr:uid="{05DCBE4E-A4E5-436F-B23D-BFAB6E4D5698}">
      <text>
        <r>
          <rPr>
            <b/>
            <sz val="9"/>
            <color indexed="81"/>
            <rFont val="Tahoma"/>
            <family val="2"/>
          </rPr>
          <t>All other expenses including facilities, utilities, training, equipment, etc.</t>
        </r>
      </text>
    </comment>
    <comment ref="G27" authorId="1" shapeId="0" xr:uid="{6795D396-B2E7-4319-9155-B1A8FF5DF46E}">
      <text>
        <r>
          <rPr>
            <b/>
            <sz val="9"/>
            <color indexed="81"/>
            <rFont val="Tahoma"/>
            <family val="2"/>
          </rPr>
          <t>J. Michele Miller:</t>
        </r>
        <r>
          <rPr>
            <sz val="9"/>
            <color indexed="81"/>
            <rFont val="Tahoma"/>
            <family val="2"/>
          </rPr>
          <t xml:space="preserve">
$6,947.58 bad debt for Omni and Rahman
</t>
        </r>
      </text>
    </comment>
    <comment ref="B34" authorId="0" shapeId="0" xr:uid="{A59DE048-6A16-4B3A-BBFD-5C2C8A2AEA25}">
      <text>
        <r>
          <rPr>
            <b/>
            <sz val="9"/>
            <color indexed="81"/>
            <rFont val="Tahoma"/>
            <family val="2"/>
          </rPr>
          <t>Total number of employees in the company including owners.</t>
        </r>
      </text>
    </comment>
    <comment ref="C44" authorId="1" shapeId="0" xr:uid="{7332819D-0229-4474-8601-C95919EBAA3C}">
      <text>
        <r>
          <rPr>
            <b/>
            <sz val="9"/>
            <color indexed="81"/>
            <rFont val="Tahoma"/>
            <family val="2"/>
          </rPr>
          <t>J. Michele Miller:</t>
        </r>
        <r>
          <rPr>
            <sz val="9"/>
            <color indexed="81"/>
            <rFont val="Tahoma"/>
            <family val="2"/>
          </rPr>
          <t xml:space="preserve">
Case Industries 2568
Outpost Outdoors 365</t>
        </r>
      </text>
    </comment>
    <comment ref="E44" authorId="1" shapeId="0" xr:uid="{FF6A3CC0-4B1A-48E6-8B53-83B63CCB0AFE}">
      <text>
        <r>
          <rPr>
            <b/>
            <sz val="9"/>
            <color indexed="81"/>
            <rFont val="Tahoma"/>
            <family val="2"/>
          </rPr>
          <t>J. Michele Miller:</t>
        </r>
        <r>
          <rPr>
            <sz val="9"/>
            <color indexed="81"/>
            <rFont val="Tahoma"/>
            <family val="2"/>
          </rPr>
          <t xml:space="preserve">
Lanco
</t>
        </r>
      </text>
    </comment>
    <comment ref="I44" authorId="1" shapeId="0" xr:uid="{B392A729-6F02-4778-A897-BED43E0347FB}">
      <text>
        <r>
          <rPr>
            <b/>
            <sz val="9"/>
            <color indexed="81"/>
            <rFont val="Tahoma"/>
            <family val="2"/>
          </rPr>
          <t>J. Michele Miller:</t>
        </r>
        <r>
          <rPr>
            <sz val="9"/>
            <color indexed="81"/>
            <rFont val="Tahoma"/>
            <family val="2"/>
          </rPr>
          <t xml:space="preserve">
HEB Family Investments
</t>
        </r>
      </text>
    </comment>
    <comment ref="H45" authorId="1" shapeId="0" xr:uid="{D5766E19-C4B6-4C2A-9E51-E31721CF0281}">
      <text>
        <r>
          <rPr>
            <b/>
            <sz val="9"/>
            <color indexed="81"/>
            <rFont val="Tahoma"/>
            <family val="2"/>
          </rPr>
          <t>J. Michele Miller:
Outpost Outdoors
Donovan Marine</t>
        </r>
      </text>
    </comment>
  </commentList>
</comments>
</file>

<file path=xl/sharedStrings.xml><?xml version="1.0" encoding="utf-8"?>
<sst xmlns="http://schemas.openxmlformats.org/spreadsheetml/2006/main" count="431" uniqueCount="156">
  <si>
    <t>Revenue</t>
  </si>
  <si>
    <t>Total Revenue</t>
  </si>
  <si>
    <t>Expenses</t>
  </si>
  <si>
    <t>Profit</t>
  </si>
  <si>
    <t>Sales</t>
  </si>
  <si>
    <t>Quarterly Business Review</t>
  </si>
  <si>
    <t>General Information</t>
  </si>
  <si>
    <t>Employee Expense</t>
  </si>
  <si>
    <t>All Other Expenses</t>
  </si>
  <si>
    <t>Net Profit Dollars</t>
  </si>
  <si>
    <t># of Manage Services Agreements</t>
  </si>
  <si>
    <t># of Prospects to Hit PBR</t>
  </si>
  <si>
    <t># of New Agreements</t>
  </si>
  <si>
    <t>Category</t>
  </si>
  <si>
    <t>Amount</t>
  </si>
  <si>
    <t>Total Expenses</t>
  </si>
  <si>
    <t>Smart Numbers</t>
  </si>
  <si>
    <t>Net Profit %</t>
  </si>
  <si>
    <t>% of Revenue from Services</t>
  </si>
  <si>
    <t>% of Services from MRR</t>
  </si>
  <si>
    <t>Leverage</t>
  </si>
  <si>
    <t>Average AISP</t>
  </si>
  <si>
    <t>Average MRR</t>
  </si>
  <si>
    <t>New MRR added</t>
  </si>
  <si>
    <t>Lost MRR (churn)</t>
  </si>
  <si>
    <t>Net MRR gain</t>
  </si>
  <si>
    <t>Operations</t>
  </si>
  <si>
    <t>Service Revenue per Associate</t>
  </si>
  <si>
    <t>Service Revenue per Tech</t>
  </si>
  <si>
    <t>Average Resolution Time</t>
  </si>
  <si>
    <t>Total Close %</t>
  </si>
  <si>
    <t># of dials / appointment</t>
  </si>
  <si>
    <t># of first appointments</t>
  </si>
  <si>
    <t>Sales Call Close %</t>
  </si>
  <si>
    <t>Service Revenue / Associate / Quarter</t>
  </si>
  <si>
    <t>Service Revenue / Tech / Quarter</t>
  </si>
  <si>
    <t>Annualized Service Revenue per Associate</t>
  </si>
  <si>
    <t>Annualized Service Revenue per Tech</t>
  </si>
  <si>
    <t>Smart Numbers - Annualized Service Revenue / Assoc.</t>
  </si>
  <si>
    <t>Smart Numbers - Annualized Service Revenue / Tech</t>
  </si>
  <si>
    <t>Total</t>
  </si>
  <si>
    <t>Jan</t>
  </si>
  <si>
    <t>Feb</t>
  </si>
  <si>
    <t>Mar</t>
  </si>
  <si>
    <t>Apr</t>
  </si>
  <si>
    <t>May</t>
  </si>
  <si>
    <t>June</t>
  </si>
  <si>
    <t>July</t>
  </si>
  <si>
    <t>August</t>
  </si>
  <si>
    <t>Sept</t>
  </si>
  <si>
    <t>Oct</t>
  </si>
  <si>
    <t>Nov</t>
  </si>
  <si>
    <t>Dec</t>
  </si>
  <si>
    <t>Change</t>
  </si>
  <si>
    <t>% change</t>
  </si>
  <si>
    <t>annualized for charts</t>
  </si>
  <si>
    <t>Low</t>
  </si>
  <si>
    <t>Average</t>
  </si>
  <si>
    <t>High</t>
  </si>
  <si>
    <t>Business Review</t>
  </si>
  <si>
    <t>Monthly Input</t>
  </si>
  <si>
    <t>QBRCompare</t>
  </si>
  <si>
    <t>Ranges</t>
  </si>
  <si>
    <t xml:space="preserve">Reads Monthly Input </t>
  </si>
  <si>
    <t>Quarter 1</t>
  </si>
  <si>
    <t>Quarter 2</t>
  </si>
  <si>
    <t>Quarter 3</t>
  </si>
  <si>
    <t xml:space="preserve">YTD </t>
  </si>
  <si>
    <t>change</t>
  </si>
  <si>
    <t>%</t>
  </si>
  <si>
    <t>Quarter 4</t>
  </si>
  <si>
    <t># of Reactive Tickets Created</t>
  </si>
  <si>
    <t># of Reactive Tickets Closed</t>
  </si>
  <si>
    <t>Total Time on Reactive Tickets</t>
  </si>
  <si>
    <t># of Endpoints Managed</t>
  </si>
  <si>
    <t>Non-recurring Revenue (NRR)</t>
  </si>
  <si>
    <t>Monthly Recurring Revenue (MRR)</t>
  </si>
  <si>
    <t>Other Recurring Revenue (ORR)</t>
  </si>
  <si>
    <t>Product Sales</t>
  </si>
  <si>
    <t>Miscellaneous revenue</t>
  </si>
  <si>
    <t>Owners Compensation</t>
  </si>
  <si>
    <t>Product Cost of Goods Sold (COGS)</t>
  </si>
  <si>
    <t># of Employees</t>
  </si>
  <si>
    <t># of Technical Employees</t>
  </si>
  <si>
    <t># of Seats Managed</t>
  </si>
  <si>
    <t># of Telemarketing Dials</t>
  </si>
  <si>
    <t># of First Time Appointments (FTA)</t>
  </si>
  <si>
    <t xml:space="preserve">New MRR </t>
  </si>
  <si>
    <t>Lost MRR</t>
  </si>
  <si>
    <t>Reactive Tickets / Tech / Month (closed)</t>
  </si>
  <si>
    <t>Reactive Tickets / Endpoint / Month (new)</t>
  </si>
  <si>
    <t>Reactive Service %</t>
  </si>
  <si>
    <t>Annualized Service Revenue / Employee</t>
  </si>
  <si>
    <t>Annualized Service Revenue / Technical Employee</t>
  </si>
  <si>
    <t>Monthly Business Review</t>
  </si>
  <si>
    <t>Used for Chart tabs.</t>
  </si>
  <si>
    <t>Reads Monthly Input</t>
  </si>
  <si>
    <t>QBR 2015</t>
  </si>
  <si>
    <t>RHEM (Reactive Hours / Endpoint / Month)</t>
  </si>
  <si>
    <t>2016 Monthly Numbers…input your numbers here</t>
  </si>
  <si>
    <t xml:space="preserve">2015 Monthly Numbers.  Copy and Paste values from 2015 QBR.  </t>
  </si>
  <si>
    <t>2015byMonth</t>
  </si>
  <si>
    <t>QBR 2016</t>
  </si>
  <si>
    <t>Reads 2015byMonth</t>
  </si>
  <si>
    <t>Reads QBR 2015 and QBR 2016</t>
  </si>
  <si>
    <t>SmartNumbers2016</t>
  </si>
  <si>
    <t>Reads QBR2016</t>
  </si>
  <si>
    <t>SmartNumbers2015-2016</t>
  </si>
  <si>
    <t>Reads SmartNumbers2016 and QBR2015</t>
  </si>
  <si>
    <t>SmartNumbers2016byMonthly</t>
  </si>
  <si>
    <t>Charts2015-2016</t>
  </si>
  <si>
    <t>Reads SmartNumberswith2015-2016 and reads Ranges.</t>
  </si>
  <si>
    <t>Charts2016</t>
  </si>
  <si>
    <t>Reads Smart Numbers2016 and Ranges.</t>
  </si>
  <si>
    <t>Charts2016byMonth</t>
  </si>
  <si>
    <t>Reads SmartNumber2016 byMonth and Ranges</t>
  </si>
  <si>
    <t>2016 Changes to Smart Numbers</t>
  </si>
  <si>
    <t>No more  Endpoints Support by Tech</t>
  </si>
  <si>
    <t>Renamed RHEM  from hours/Endpoint/month---name change only</t>
  </si>
  <si>
    <t>Owner Compensation</t>
  </si>
  <si>
    <t>MSP turning point</t>
  </si>
  <si>
    <t>$ Difference</t>
  </si>
  <si>
    <t>Cash Reserve</t>
  </si>
  <si>
    <t>Ave Expenses for  2018</t>
  </si>
  <si>
    <t>A/R &gt;90 days</t>
  </si>
  <si>
    <t>Cash Reserve/Ave expenses</t>
  </si>
  <si>
    <t>Bright Gauge - top left look for smart numbers dashboard</t>
  </si>
  <si>
    <t>Ave Expenses for  2019</t>
  </si>
  <si>
    <t>Ave Expenses for  2017</t>
  </si>
  <si>
    <t>Ave Expenses for  2020</t>
  </si>
  <si>
    <t>Gross Margin</t>
  </si>
  <si>
    <t>Ave Expenses for  2021</t>
  </si>
  <si>
    <t>Gross Margin per employee</t>
  </si>
  <si>
    <t>management labor efficiency ratio</t>
  </si>
  <si>
    <t>Labor Efficiency Ratio (&gt;2.0)</t>
  </si>
  <si>
    <t>Owner Comp to pay QTR est taxes</t>
  </si>
  <si>
    <t>Note Ave Expenses for 2022</t>
  </si>
  <si>
    <t>Ave Expenses for  2023</t>
  </si>
  <si>
    <t>3/22/23 need to add $18,000 of MRR to pay for Marketing spend - min $4,000 per month new MRR</t>
  </si>
  <si>
    <t>Monthly Business Review 2024</t>
  </si>
  <si>
    <t>Q1 2024</t>
  </si>
  <si>
    <t>Q2 2024</t>
  </si>
  <si>
    <t>Q3 2024</t>
  </si>
  <si>
    <t>Q4 2024</t>
  </si>
  <si>
    <t>Quarterly Business Review 2024</t>
  </si>
  <si>
    <t>Rmm $175K 2025</t>
  </si>
  <si>
    <t>jmm$72K 2025</t>
  </si>
  <si>
    <t>Monthly Business Review 2025</t>
  </si>
  <si>
    <t>Quarterly Business Review 2025</t>
  </si>
  <si>
    <t>Q1 2025</t>
  </si>
  <si>
    <t>Q2 2025</t>
  </si>
  <si>
    <t>Q3 2025</t>
  </si>
  <si>
    <t>Q4 2025</t>
  </si>
  <si>
    <t>Smart Numbers for 2025 by Month</t>
  </si>
  <si>
    <t>Quarterly Business Review Comparison 2025 vs 2024</t>
  </si>
  <si>
    <t>note the $24K is for TCM and PVM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</si>
</sst>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quot;$&quot;#,##0.00"/>
    <numFmt numFmtId="165" formatCode="&quot;$&quot;#,##0"/>
    <numFmt numFmtId="166" formatCode="0.0%"/>
    <numFmt numFmtId="167" formatCode="_(&quot;$&quot;* #,##0_);_(&quot;$&quot;* \(#,##0\);_(&quot;$&quot;* &quot;-&quot;??_);_(@_)"/>
    <numFmt numFmtId="168" formatCode="_([$$-409]* #,##0_);_([$$-409]* \(#,##0\);_([$$-409]* &quot;-&quot;??_);_(@_)"/>
    <numFmt numFmtId="169" formatCode="&quot;$&quot;#,##0.000"/>
  </numFmts>
  <fonts count="36" x14ac:knownFonts="1">
    <font>
      <sz val="10"/>
      <name val="Arial"/>
    </font>
    <font>
      <sz val="10"/>
      <name val="Arial"/>
      <family val="2"/>
    </font>
    <font>
      <sz val="10"/>
      <name val="Times New Roman"/>
      <family val="1"/>
    </font>
    <font>
      <sz val="10"/>
      <name val="Arial"/>
      <family val="2"/>
    </font>
    <font>
      <sz val="16"/>
      <name val="Times New Roman"/>
      <family val="1"/>
    </font>
    <font>
      <sz val="11"/>
      <color indexed="8"/>
      <name val="Calibri"/>
      <family val="2"/>
    </font>
    <font>
      <b/>
      <sz val="11"/>
      <color indexed="8"/>
      <name val="Calibri"/>
      <family val="2"/>
    </font>
    <font>
      <b/>
      <sz val="28"/>
      <color indexed="8"/>
      <name val="Calibri"/>
      <family val="2"/>
    </font>
    <font>
      <sz val="28"/>
      <color indexed="8"/>
      <name val="Calibri"/>
      <family val="2"/>
    </font>
    <font>
      <b/>
      <sz val="9"/>
      <color indexed="81"/>
      <name val="Tahoma"/>
      <family val="2"/>
    </font>
    <font>
      <b/>
      <sz val="20"/>
      <name val="Arial"/>
      <family val="2"/>
    </font>
    <font>
      <sz val="24"/>
      <name val="Arial"/>
      <family val="2"/>
    </font>
    <font>
      <sz val="10"/>
      <color rgb="FFFF0000"/>
      <name val="Arial"/>
      <family val="2"/>
    </font>
    <font>
      <sz val="10"/>
      <name val="Arial"/>
      <family val="2"/>
    </font>
    <font>
      <b/>
      <sz val="16"/>
      <color theme="0"/>
      <name val="Arial"/>
      <family val="2"/>
    </font>
    <font>
      <b/>
      <sz val="11"/>
      <color theme="0"/>
      <name val="Calibri"/>
      <family val="2"/>
    </font>
    <font>
      <sz val="11"/>
      <color theme="0"/>
      <name val="Calibri"/>
      <family val="2"/>
    </font>
    <font>
      <i/>
      <sz val="11"/>
      <color indexed="8"/>
      <name val="Calibri"/>
      <family val="2"/>
    </font>
    <font>
      <b/>
      <i/>
      <sz val="11"/>
      <color indexed="8"/>
      <name val="Calibri"/>
      <family val="2"/>
    </font>
    <font>
      <sz val="22"/>
      <color theme="0"/>
      <name val="Arial"/>
      <family val="2"/>
    </font>
    <font>
      <b/>
      <sz val="12"/>
      <color theme="0"/>
      <name val="Calibri"/>
      <family val="2"/>
    </font>
    <font>
      <sz val="12"/>
      <color theme="0"/>
      <name val="Calibri"/>
      <family val="2"/>
    </font>
    <font>
      <sz val="11"/>
      <name val="Arial"/>
      <family val="2"/>
    </font>
    <font>
      <sz val="12"/>
      <name val="Arial"/>
      <family val="2"/>
    </font>
    <font>
      <sz val="12"/>
      <color theme="0"/>
      <name val="Arial"/>
      <family val="2"/>
    </font>
    <font>
      <b/>
      <sz val="12"/>
      <color theme="0"/>
      <name val="Arial"/>
      <family val="2"/>
    </font>
    <font>
      <sz val="12"/>
      <color indexed="8"/>
      <name val="Calibri"/>
      <family val="2"/>
    </font>
    <font>
      <sz val="12"/>
      <color indexed="8"/>
      <name val="Calibri"/>
      <family val="2"/>
      <scheme val="minor"/>
    </font>
    <font>
      <b/>
      <sz val="11"/>
      <name val="Arial"/>
      <family val="2"/>
    </font>
    <font>
      <b/>
      <sz val="12"/>
      <name val="Arial"/>
      <family val="2"/>
    </font>
    <font>
      <sz val="10"/>
      <name val="Arial"/>
      <family val="2"/>
    </font>
    <font>
      <b/>
      <sz val="10"/>
      <name val="Arial"/>
      <family val="2"/>
    </font>
    <font>
      <sz val="9"/>
      <color indexed="81"/>
      <name val="Tahoma"/>
      <family val="2"/>
    </font>
    <font>
      <sz val="11"/>
      <name val="Calibri"/>
      <family val="2"/>
    </font>
    <font>
      <sz val="9"/>
      <color indexed="81"/>
      <name val="Tahoma"/>
      <charset val="1"/>
    </font>
    <font>
      <b/>
      <sz val="9"/>
      <color indexed="81"/>
      <name val="Tahoma"/>
      <charset val="1"/>
    </font>
  </fonts>
  <fills count="16">
    <fill>
      <patternFill patternType="none"/>
    </fill>
    <fill>
      <patternFill patternType="gray125"/>
    </fill>
    <fill>
      <patternFill patternType="solid">
        <fgColor indexed="37"/>
        <bgColor indexed="64"/>
      </patternFill>
    </fill>
    <fill>
      <patternFill patternType="solid">
        <fgColor theme="0"/>
        <bgColor indexed="64"/>
      </patternFill>
    </fill>
    <fill>
      <patternFill patternType="solid">
        <fgColor theme="3"/>
        <bgColor indexed="64"/>
      </patternFill>
    </fill>
    <fill>
      <patternFill patternType="solid">
        <fgColor theme="4"/>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rgb="FFFF0066"/>
        <bgColor indexed="64"/>
      </patternFill>
    </fill>
    <fill>
      <patternFill patternType="solid">
        <fgColor rgb="FFFFFF00"/>
        <bgColor indexed="64"/>
      </patternFill>
    </fill>
    <fill>
      <patternFill patternType="solid">
        <fgColor rgb="FF92D050"/>
        <bgColor indexed="64"/>
      </patternFill>
    </fill>
    <fill>
      <patternFill patternType="solid">
        <fgColor theme="9"/>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2" tint="-0.249977111117893"/>
        <bgColor indexed="64"/>
      </patternFill>
    </fill>
  </fills>
  <borders count="25">
    <border>
      <left/>
      <right/>
      <top/>
      <bottom/>
      <diagonal/>
    </border>
    <border>
      <left/>
      <right/>
      <top style="thin">
        <color indexed="64"/>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bottom style="thin">
        <color indexed="64"/>
      </bottom>
      <diagonal/>
    </border>
    <border>
      <left/>
      <right style="thick">
        <color indexed="64"/>
      </right>
      <top style="thin">
        <color indexed="64"/>
      </top>
      <bottom style="thin">
        <color indexed="64"/>
      </bottom>
      <diagonal/>
    </border>
    <border>
      <left style="medium">
        <color indexed="64"/>
      </left>
      <right/>
      <top/>
      <bottom style="thin">
        <color indexed="64"/>
      </bottom>
      <diagonal/>
    </border>
    <border>
      <left/>
      <right style="thin">
        <color indexed="64"/>
      </right>
      <top style="thin">
        <color indexed="64"/>
      </top>
      <bottom style="medium">
        <color indexed="64"/>
      </bottom>
      <diagonal/>
    </border>
  </borders>
  <cellStyleXfs count="6">
    <xf numFmtId="0" fontId="0" fillId="0" borderId="0"/>
    <xf numFmtId="0" fontId="5" fillId="0" borderId="0"/>
    <xf numFmtId="0" fontId="5" fillId="0" borderId="0"/>
    <xf numFmtId="9" fontId="1" fillId="0" borderId="0" applyFont="0" applyFill="0" applyBorder="0" applyAlignment="0" applyProtection="0"/>
    <xf numFmtId="43" fontId="13" fillId="0" borderId="0" applyFont="0" applyFill="0" applyBorder="0" applyAlignment="0" applyProtection="0"/>
    <xf numFmtId="44" fontId="30" fillId="0" borderId="0" applyFont="0" applyFill="0" applyBorder="0" applyAlignment="0" applyProtection="0"/>
  </cellStyleXfs>
  <cellXfs count="246">
    <xf numFmtId="0" fontId="0" fillId="0" borderId="0" xfId="0"/>
    <xf numFmtId="0" fontId="2" fillId="0" borderId="0" xfId="2" applyFont="1"/>
    <xf numFmtId="0" fontId="4" fillId="0" borderId="0" xfId="2" applyFont="1" applyAlignment="1">
      <alignment horizontal="center" vertical="center"/>
    </xf>
    <xf numFmtId="0" fontId="5" fillId="0" borderId="0" xfId="1"/>
    <xf numFmtId="0" fontId="2" fillId="0" borderId="0" xfId="2" applyFont="1" applyAlignment="1">
      <alignment horizontal="left"/>
    </xf>
    <xf numFmtId="0" fontId="5" fillId="0" borderId="1" xfId="1" applyBorder="1"/>
    <xf numFmtId="0" fontId="6" fillId="0" borderId="1" xfId="1" applyFont="1" applyBorder="1" applyAlignment="1">
      <alignment horizontal="right"/>
    </xf>
    <xf numFmtId="0" fontId="5" fillId="0" borderId="0" xfId="1" quotePrefix="1"/>
    <xf numFmtId="0" fontId="2" fillId="0" borderId="0" xfId="2" applyFont="1" applyAlignment="1">
      <alignment horizontal="center"/>
    </xf>
    <xf numFmtId="0" fontId="5" fillId="0" borderId="0" xfId="1" applyAlignment="1">
      <alignment horizontal="center"/>
    </xf>
    <xf numFmtId="0" fontId="5" fillId="0" borderId="0" xfId="1" applyAlignment="1">
      <alignment vertical="center"/>
    </xf>
    <xf numFmtId="0" fontId="6" fillId="3" borderId="1" xfId="1" applyFont="1" applyFill="1" applyBorder="1" applyAlignment="1">
      <alignment horizontal="center"/>
    </xf>
    <xf numFmtId="0" fontId="5" fillId="3" borderId="1" xfId="1" applyFill="1" applyBorder="1" applyAlignment="1">
      <alignment horizontal="center"/>
    </xf>
    <xf numFmtId="0" fontId="5" fillId="0" borderId="1" xfId="1" applyBorder="1" applyAlignment="1">
      <alignment horizontal="center"/>
    </xf>
    <xf numFmtId="0" fontId="6" fillId="3" borderId="6" xfId="1" applyFont="1" applyFill="1" applyBorder="1"/>
    <xf numFmtId="0" fontId="6" fillId="3" borderId="7" xfId="1" applyFont="1" applyFill="1" applyBorder="1" applyAlignment="1">
      <alignment horizontal="center"/>
    </xf>
    <xf numFmtId="0" fontId="5" fillId="0" borderId="6" xfId="1" applyBorder="1"/>
    <xf numFmtId="0" fontId="5" fillId="0" borderId="7" xfId="1" applyBorder="1" applyAlignment="1">
      <alignment horizontal="center"/>
    </xf>
    <xf numFmtId="0" fontId="5" fillId="0" borderId="8" xfId="1" applyBorder="1"/>
    <xf numFmtId="0" fontId="5" fillId="0" borderId="9" xfId="1" applyBorder="1"/>
    <xf numFmtId="0" fontId="5" fillId="0" borderId="9" xfId="1" applyBorder="1" applyAlignment="1">
      <alignment horizontal="center"/>
    </xf>
    <xf numFmtId="0" fontId="5" fillId="0" borderId="10" xfId="1" applyBorder="1" applyAlignment="1">
      <alignment horizontal="center"/>
    </xf>
    <xf numFmtId="10" fontId="5" fillId="0" borderId="1" xfId="1" applyNumberFormat="1" applyBorder="1" applyAlignment="1">
      <alignment horizontal="center"/>
    </xf>
    <xf numFmtId="2" fontId="5" fillId="0" borderId="1" xfId="1" applyNumberFormat="1" applyBorder="1" applyAlignment="1">
      <alignment horizontal="center"/>
    </xf>
    <xf numFmtId="164" fontId="5" fillId="0" borderId="1" xfId="1" applyNumberFormat="1" applyBorder="1" applyAlignment="1">
      <alignment horizontal="center"/>
    </xf>
    <xf numFmtId="9" fontId="5" fillId="0" borderId="1" xfId="3" applyFont="1" applyBorder="1" applyAlignment="1">
      <alignment horizontal="center"/>
    </xf>
    <xf numFmtId="2" fontId="5" fillId="0" borderId="7" xfId="1" applyNumberFormat="1" applyBorder="1" applyAlignment="1">
      <alignment horizontal="center"/>
    </xf>
    <xf numFmtId="10" fontId="5" fillId="0" borderId="7" xfId="1" applyNumberFormat="1" applyBorder="1" applyAlignment="1">
      <alignment horizontal="center"/>
    </xf>
    <xf numFmtId="164" fontId="5" fillId="0" borderId="7" xfId="1" applyNumberFormat="1" applyBorder="1" applyAlignment="1">
      <alignment horizontal="center"/>
    </xf>
    <xf numFmtId="9" fontId="5" fillId="0" borderId="7" xfId="3" applyFont="1" applyBorder="1" applyAlignment="1">
      <alignment horizontal="center"/>
    </xf>
    <xf numFmtId="164" fontId="6" fillId="0" borderId="1" xfId="1" applyNumberFormat="1" applyFont="1" applyBorder="1" applyAlignment="1">
      <alignment horizontal="center"/>
    </xf>
    <xf numFmtId="9" fontId="5" fillId="0" borderId="0" xfId="3" applyFont="1"/>
    <xf numFmtId="164" fontId="5" fillId="0" borderId="0" xfId="1" applyNumberFormat="1"/>
    <xf numFmtId="0" fontId="3" fillId="0" borderId="0" xfId="0" applyFont="1" applyAlignment="1">
      <alignment horizontal="center"/>
    </xf>
    <xf numFmtId="9" fontId="5" fillId="0" borderId="0" xfId="3" applyFont="1" applyAlignment="1">
      <alignment horizontal="center"/>
    </xf>
    <xf numFmtId="0" fontId="0" fillId="0" borderId="0" xfId="0" applyAlignment="1">
      <alignment horizontal="center"/>
    </xf>
    <xf numFmtId="164" fontId="5" fillId="0" borderId="0" xfId="1" applyNumberFormat="1" applyAlignment="1">
      <alignment horizontal="center"/>
    </xf>
    <xf numFmtId="164" fontId="0" fillId="0" borderId="0" xfId="0" applyNumberFormat="1" applyAlignment="1">
      <alignment horizontal="center"/>
    </xf>
    <xf numFmtId="164" fontId="6" fillId="0" borderId="7" xfId="1" applyNumberFormat="1" applyFont="1" applyBorder="1" applyAlignment="1">
      <alignment horizontal="center"/>
    </xf>
    <xf numFmtId="0" fontId="1" fillId="0" borderId="0" xfId="0" applyFont="1"/>
    <xf numFmtId="164" fontId="0" fillId="0" borderId="0" xfId="0" applyNumberFormat="1"/>
    <xf numFmtId="0" fontId="12" fillId="0" borderId="0" xfId="0" applyFont="1"/>
    <xf numFmtId="0" fontId="6" fillId="5" borderId="1" xfId="1" applyFont="1" applyFill="1" applyBorder="1" applyAlignment="1">
      <alignment horizontal="center"/>
    </xf>
    <xf numFmtId="0" fontId="5" fillId="5" borderId="1" xfId="1" applyFill="1" applyBorder="1"/>
    <xf numFmtId="0" fontId="6" fillId="5" borderId="7" xfId="1" applyFont="1" applyFill="1" applyBorder="1" applyAlignment="1">
      <alignment horizontal="center"/>
    </xf>
    <xf numFmtId="0" fontId="6" fillId="6" borderId="3" xfId="1" applyFont="1" applyFill="1" applyBorder="1"/>
    <xf numFmtId="0" fontId="6" fillId="6" borderId="4" xfId="1" applyFont="1" applyFill="1" applyBorder="1" applyAlignment="1">
      <alignment horizontal="center"/>
    </xf>
    <xf numFmtId="0" fontId="6" fillId="6" borderId="5" xfId="1" applyFont="1" applyFill="1" applyBorder="1" applyAlignment="1">
      <alignment horizontal="center"/>
    </xf>
    <xf numFmtId="0" fontId="6" fillId="6" borderId="6" xfId="1" applyFont="1" applyFill="1" applyBorder="1"/>
    <xf numFmtId="0" fontId="6" fillId="6" borderId="1" xfId="1" applyFont="1" applyFill="1" applyBorder="1" applyAlignment="1">
      <alignment horizontal="center"/>
    </xf>
    <xf numFmtId="0" fontId="5" fillId="6" borderId="1" xfId="1" applyFill="1" applyBorder="1"/>
    <xf numFmtId="0" fontId="6" fillId="6" borderId="7" xfId="1" applyFont="1" applyFill="1" applyBorder="1" applyAlignment="1">
      <alignment horizontal="center"/>
    </xf>
    <xf numFmtId="0" fontId="5" fillId="8" borderId="1" xfId="1" applyFill="1" applyBorder="1" applyAlignment="1" applyProtection="1">
      <alignment horizontal="center"/>
      <protection locked="0"/>
    </xf>
    <xf numFmtId="0" fontId="5" fillId="8" borderId="7" xfId="1" applyFill="1" applyBorder="1" applyAlignment="1" applyProtection="1">
      <alignment horizontal="center"/>
      <protection locked="0"/>
    </xf>
    <xf numFmtId="164" fontId="5" fillId="8" borderId="1" xfId="1" applyNumberFormat="1" applyFill="1" applyBorder="1" applyAlignment="1" applyProtection="1">
      <alignment horizontal="center"/>
      <protection locked="0"/>
    </xf>
    <xf numFmtId="164" fontId="5" fillId="8" borderId="7" xfId="1" applyNumberFormat="1" applyFill="1" applyBorder="1" applyAlignment="1" applyProtection="1">
      <alignment horizontal="center"/>
      <protection locked="0"/>
    </xf>
    <xf numFmtId="1" fontId="5" fillId="8" borderId="1" xfId="1" applyNumberFormat="1" applyFill="1" applyBorder="1" applyAlignment="1" applyProtection="1">
      <alignment horizontal="center"/>
      <protection locked="0"/>
    </xf>
    <xf numFmtId="1" fontId="6" fillId="8" borderId="1" xfId="1" applyNumberFormat="1" applyFont="1" applyFill="1" applyBorder="1" applyAlignment="1" applyProtection="1">
      <alignment horizontal="center"/>
      <protection locked="0"/>
    </xf>
    <xf numFmtId="0" fontId="5" fillId="5" borderId="1" xfId="1" applyFill="1" applyBorder="1" applyAlignment="1">
      <alignment horizontal="center"/>
    </xf>
    <xf numFmtId="0" fontId="15" fillId="5" borderId="0" xfId="1" applyFont="1" applyFill="1"/>
    <xf numFmtId="0" fontId="16" fillId="5" borderId="0" xfId="1" applyFont="1" applyFill="1"/>
    <xf numFmtId="0" fontId="16" fillId="5" borderId="0" xfId="1" applyFont="1" applyFill="1" applyAlignment="1">
      <alignment horizontal="center"/>
    </xf>
    <xf numFmtId="0" fontId="5" fillId="8" borderId="1" xfId="1" applyFill="1" applyBorder="1"/>
    <xf numFmtId="0" fontId="5" fillId="5" borderId="7" xfId="1" applyFill="1" applyBorder="1" applyAlignment="1">
      <alignment horizontal="center"/>
    </xf>
    <xf numFmtId="0" fontId="15" fillId="5" borderId="6" xfId="1" applyFont="1" applyFill="1" applyBorder="1"/>
    <xf numFmtId="0" fontId="16" fillId="5" borderId="1" xfId="1" applyFont="1" applyFill="1" applyBorder="1"/>
    <xf numFmtId="0" fontId="16" fillId="5" borderId="1" xfId="1" applyFont="1" applyFill="1" applyBorder="1" applyAlignment="1">
      <alignment horizontal="center"/>
    </xf>
    <xf numFmtId="0" fontId="16" fillId="5" borderId="7" xfId="1" applyFont="1" applyFill="1" applyBorder="1" applyAlignment="1">
      <alignment horizontal="center"/>
    </xf>
    <xf numFmtId="0" fontId="5" fillId="6" borderId="0" xfId="1" applyFill="1"/>
    <xf numFmtId="0" fontId="4" fillId="5" borderId="0" xfId="2" applyFont="1" applyFill="1" applyAlignment="1">
      <alignment horizontal="center" vertical="center"/>
    </xf>
    <xf numFmtId="0" fontId="15" fillId="5" borderId="2" xfId="1" applyFont="1" applyFill="1" applyBorder="1" applyAlignment="1">
      <alignment horizontal="center"/>
    </xf>
    <xf numFmtId="0" fontId="15" fillId="5" borderId="11" xfId="1" applyFont="1" applyFill="1" applyBorder="1" applyAlignment="1">
      <alignment horizontal="center"/>
    </xf>
    <xf numFmtId="0" fontId="6" fillId="8" borderId="3" xfId="1" applyFont="1" applyFill="1" applyBorder="1" applyAlignment="1">
      <alignment horizontal="left"/>
    </xf>
    <xf numFmtId="0" fontId="6" fillId="8" borderId="4" xfId="1" applyFont="1" applyFill="1" applyBorder="1" applyAlignment="1">
      <alignment horizontal="center"/>
    </xf>
    <xf numFmtId="0" fontId="6" fillId="8" borderId="5" xfId="1" applyFont="1" applyFill="1" applyBorder="1" applyAlignment="1">
      <alignment horizontal="center"/>
    </xf>
    <xf numFmtId="0" fontId="5" fillId="6" borderId="1" xfId="1" applyFill="1" applyBorder="1" applyAlignment="1">
      <alignment horizontal="center"/>
    </xf>
    <xf numFmtId="0" fontId="5" fillId="6" borderId="7" xfId="1" applyFill="1" applyBorder="1" applyAlignment="1">
      <alignment horizontal="center"/>
    </xf>
    <xf numFmtId="0" fontId="6" fillId="8" borderId="3" xfId="1" applyFont="1" applyFill="1" applyBorder="1"/>
    <xf numFmtId="0" fontId="6" fillId="8" borderId="0" xfId="1" applyFont="1" applyFill="1" applyAlignment="1">
      <alignment horizontal="center"/>
    </xf>
    <xf numFmtId="0" fontId="17" fillId="0" borderId="1" xfId="1" applyFont="1" applyBorder="1"/>
    <xf numFmtId="0" fontId="5" fillId="8" borderId="6" xfId="1" applyFill="1" applyBorder="1"/>
    <xf numFmtId="0" fontId="6" fillId="8" borderId="1" xfId="1" applyFont="1" applyFill="1" applyBorder="1" applyAlignment="1">
      <alignment horizontal="right"/>
    </xf>
    <xf numFmtId="0" fontId="5" fillId="6" borderId="6" xfId="1" applyFill="1" applyBorder="1"/>
    <xf numFmtId="0" fontId="15" fillId="7" borderId="6" xfId="1" applyFont="1" applyFill="1" applyBorder="1"/>
    <xf numFmtId="0" fontId="15" fillId="7" borderId="1" xfId="1" applyFont="1" applyFill="1" applyBorder="1" applyAlignment="1">
      <alignment horizontal="center"/>
    </xf>
    <xf numFmtId="0" fontId="16" fillId="7" borderId="1" xfId="1" applyFont="1" applyFill="1" applyBorder="1"/>
    <xf numFmtId="0" fontId="15" fillId="7" borderId="12" xfId="1" applyFont="1" applyFill="1" applyBorder="1" applyAlignment="1">
      <alignment horizontal="center"/>
    </xf>
    <xf numFmtId="0" fontId="5" fillId="0" borderId="13" xfId="1" applyBorder="1" applyAlignment="1">
      <alignment horizontal="center"/>
    </xf>
    <xf numFmtId="0" fontId="11" fillId="0" borderId="0" xfId="0" applyFont="1"/>
    <xf numFmtId="17" fontId="14" fillId="5" borderId="0" xfId="2" applyNumberFormat="1" applyFont="1" applyFill="1" applyAlignment="1">
      <alignment horizontal="center" vertical="center"/>
    </xf>
    <xf numFmtId="0" fontId="6" fillId="6" borderId="3" xfId="1" applyFont="1" applyFill="1" applyBorder="1" applyAlignment="1">
      <alignment horizontal="center"/>
    </xf>
    <xf numFmtId="0" fontId="6" fillId="6" borderId="6" xfId="1" applyFont="1" applyFill="1" applyBorder="1" applyAlignment="1">
      <alignment horizontal="center"/>
    </xf>
    <xf numFmtId="0" fontId="16" fillId="5" borderId="6" xfId="1" applyFont="1" applyFill="1" applyBorder="1" applyAlignment="1">
      <alignment horizontal="center"/>
    </xf>
    <xf numFmtId="0" fontId="5" fillId="8" borderId="6" xfId="1" applyFill="1" applyBorder="1" applyAlignment="1" applyProtection="1">
      <alignment horizontal="right"/>
      <protection locked="0"/>
    </xf>
    <xf numFmtId="0" fontId="5" fillId="8" borderId="1" xfId="1" applyFill="1" applyBorder="1" applyAlignment="1" applyProtection="1">
      <alignment horizontal="right"/>
      <protection locked="0"/>
    </xf>
    <xf numFmtId="9" fontId="5" fillId="8" borderId="7" xfId="1" applyNumberFormat="1" applyFill="1" applyBorder="1" applyAlignment="1" applyProtection="1">
      <alignment horizontal="right"/>
      <protection locked="0"/>
    </xf>
    <xf numFmtId="1" fontId="5" fillId="8" borderId="6" xfId="1" applyNumberFormat="1" applyFill="1" applyBorder="1" applyAlignment="1" applyProtection="1">
      <alignment horizontal="right"/>
      <protection locked="0"/>
    </xf>
    <xf numFmtId="1" fontId="5" fillId="8" borderId="1" xfId="1" applyNumberFormat="1" applyFill="1" applyBorder="1" applyAlignment="1" applyProtection="1">
      <alignment horizontal="right"/>
      <protection locked="0"/>
    </xf>
    <xf numFmtId="0" fontId="6" fillId="3" borderId="6" xfId="1" applyFont="1" applyFill="1" applyBorder="1" applyAlignment="1">
      <alignment horizontal="right"/>
    </xf>
    <xf numFmtId="0" fontId="6" fillId="3" borderId="1" xfId="1" applyFont="1" applyFill="1" applyBorder="1" applyAlignment="1">
      <alignment horizontal="right"/>
    </xf>
    <xf numFmtId="0" fontId="6" fillId="3" borderId="7" xfId="1" applyFont="1" applyFill="1" applyBorder="1" applyAlignment="1">
      <alignment horizontal="right"/>
    </xf>
    <xf numFmtId="0" fontId="5" fillId="3" borderId="6" xfId="1" applyFill="1" applyBorder="1" applyAlignment="1">
      <alignment horizontal="right"/>
    </xf>
    <xf numFmtId="0" fontId="5" fillId="3" borderId="1" xfId="1" applyFill="1" applyBorder="1" applyAlignment="1">
      <alignment horizontal="right"/>
    </xf>
    <xf numFmtId="0" fontId="6" fillId="5" borderId="6" xfId="1" applyFont="1" applyFill="1" applyBorder="1" applyAlignment="1">
      <alignment horizontal="right"/>
    </xf>
    <xf numFmtId="0" fontId="6" fillId="5" borderId="1" xfId="1" applyFont="1" applyFill="1" applyBorder="1" applyAlignment="1">
      <alignment horizontal="right"/>
    </xf>
    <xf numFmtId="0" fontId="6" fillId="5" borderId="7" xfId="1" applyFont="1" applyFill="1" applyBorder="1" applyAlignment="1">
      <alignment horizontal="right"/>
    </xf>
    <xf numFmtId="0" fontId="5" fillId="5" borderId="6" xfId="1" applyFill="1" applyBorder="1" applyAlignment="1">
      <alignment horizontal="right"/>
    </xf>
    <xf numFmtId="0" fontId="5" fillId="5" borderId="1" xfId="1" applyFill="1" applyBorder="1" applyAlignment="1">
      <alignment horizontal="right"/>
    </xf>
    <xf numFmtId="165" fontId="5" fillId="8" borderId="6" xfId="1" applyNumberFormat="1" applyFill="1" applyBorder="1" applyAlignment="1" applyProtection="1">
      <alignment horizontal="right"/>
      <protection locked="0"/>
    </xf>
    <xf numFmtId="165" fontId="5" fillId="8" borderId="1" xfId="1" applyNumberFormat="1" applyFill="1" applyBorder="1" applyAlignment="1" applyProtection="1">
      <alignment horizontal="right"/>
      <protection locked="0"/>
    </xf>
    <xf numFmtId="165" fontId="6" fillId="0" borderId="6" xfId="1" applyNumberFormat="1" applyFont="1" applyBorder="1" applyAlignment="1">
      <alignment horizontal="right"/>
    </xf>
    <xf numFmtId="165" fontId="6" fillId="0" borderId="1" xfId="1" applyNumberFormat="1" applyFont="1" applyBorder="1" applyAlignment="1">
      <alignment horizontal="right"/>
    </xf>
    <xf numFmtId="9" fontId="6" fillId="0" borderId="7" xfId="1" applyNumberFormat="1" applyFont="1" applyBorder="1" applyAlignment="1">
      <alignment horizontal="right"/>
    </xf>
    <xf numFmtId="165" fontId="5" fillId="0" borderId="6" xfId="1" applyNumberFormat="1" applyBorder="1" applyAlignment="1">
      <alignment horizontal="right"/>
    </xf>
    <xf numFmtId="165" fontId="5" fillId="0" borderId="1" xfId="1" applyNumberFormat="1" applyBorder="1" applyAlignment="1">
      <alignment horizontal="right"/>
    </xf>
    <xf numFmtId="9" fontId="5" fillId="0" borderId="7" xfId="1" applyNumberFormat="1" applyBorder="1" applyAlignment="1">
      <alignment horizontal="right"/>
    </xf>
    <xf numFmtId="165" fontId="5" fillId="5" borderId="6" xfId="1" applyNumberFormat="1" applyFill="1" applyBorder="1" applyAlignment="1">
      <alignment horizontal="right"/>
    </xf>
    <xf numFmtId="165" fontId="5" fillId="5" borderId="1" xfId="1" applyNumberFormat="1" applyFill="1" applyBorder="1" applyAlignment="1">
      <alignment horizontal="right"/>
    </xf>
    <xf numFmtId="9" fontId="5" fillId="5" borderId="7" xfId="1" applyNumberFormat="1" applyFill="1" applyBorder="1" applyAlignment="1">
      <alignment horizontal="right"/>
    </xf>
    <xf numFmtId="0" fontId="5" fillId="0" borderId="6" xfId="1" applyBorder="1" applyAlignment="1">
      <alignment horizontal="right"/>
    </xf>
    <xf numFmtId="0" fontId="5" fillId="0" borderId="1" xfId="1" applyBorder="1" applyAlignment="1">
      <alignment horizontal="right"/>
    </xf>
    <xf numFmtId="1" fontId="6" fillId="8" borderId="1" xfId="1" applyNumberFormat="1" applyFont="1" applyFill="1" applyBorder="1" applyAlignment="1" applyProtection="1">
      <alignment horizontal="right"/>
      <protection locked="0"/>
    </xf>
    <xf numFmtId="0" fontId="5" fillId="0" borderId="7" xfId="1" applyBorder="1" applyAlignment="1">
      <alignment horizontal="right"/>
    </xf>
    <xf numFmtId="0" fontId="16" fillId="5" borderId="6" xfId="1" applyFont="1" applyFill="1" applyBorder="1" applyAlignment="1">
      <alignment horizontal="right"/>
    </xf>
    <xf numFmtId="0" fontId="16" fillId="5" borderId="1" xfId="1" applyFont="1" applyFill="1" applyBorder="1" applyAlignment="1">
      <alignment horizontal="right"/>
    </xf>
    <xf numFmtId="0" fontId="16" fillId="5" borderId="7" xfId="1" applyFont="1" applyFill="1" applyBorder="1" applyAlignment="1">
      <alignment horizontal="right"/>
    </xf>
    <xf numFmtId="9" fontId="16" fillId="5" borderId="7" xfId="1" applyNumberFormat="1" applyFont="1" applyFill="1" applyBorder="1" applyAlignment="1">
      <alignment horizontal="right"/>
    </xf>
    <xf numFmtId="10" fontId="5" fillId="8" borderId="7" xfId="1" applyNumberFormat="1" applyFill="1" applyBorder="1" applyAlignment="1" applyProtection="1">
      <alignment horizontal="right"/>
      <protection locked="0"/>
    </xf>
    <xf numFmtId="0" fontId="5" fillId="0" borderId="8" xfId="1" applyBorder="1" applyAlignment="1">
      <alignment horizontal="right"/>
    </xf>
    <xf numFmtId="0" fontId="5" fillId="0" borderId="9" xfId="1" applyBorder="1" applyAlignment="1">
      <alignment horizontal="right"/>
    </xf>
    <xf numFmtId="0" fontId="5" fillId="0" borderId="10" xfId="1" applyBorder="1" applyAlignment="1">
      <alignment horizontal="right"/>
    </xf>
    <xf numFmtId="0" fontId="5" fillId="0" borderId="0" xfId="1" applyAlignment="1">
      <alignment horizontal="right"/>
    </xf>
    <xf numFmtId="165" fontId="5" fillId="8" borderId="7" xfId="1" applyNumberFormat="1" applyFill="1" applyBorder="1" applyAlignment="1" applyProtection="1">
      <alignment horizontal="right"/>
      <protection locked="0"/>
    </xf>
    <xf numFmtId="0" fontId="20" fillId="5" borderId="6" xfId="1" applyFont="1" applyFill="1" applyBorder="1"/>
    <xf numFmtId="0" fontId="21" fillId="5" borderId="0" xfId="1" applyFont="1" applyFill="1"/>
    <xf numFmtId="0" fontId="21" fillId="5" borderId="14" xfId="1" applyFont="1" applyFill="1" applyBorder="1" applyAlignment="1">
      <alignment horizontal="center"/>
    </xf>
    <xf numFmtId="0" fontId="21" fillId="5" borderId="15" xfId="1" applyFont="1" applyFill="1" applyBorder="1" applyAlignment="1">
      <alignment horizontal="center"/>
    </xf>
    <xf numFmtId="0" fontId="21" fillId="5" borderId="16" xfId="1" applyFont="1" applyFill="1" applyBorder="1" applyAlignment="1">
      <alignment horizontal="center"/>
    </xf>
    <xf numFmtId="1" fontId="5" fillId="0" borderId="1" xfId="1" applyNumberFormat="1" applyBorder="1" applyAlignment="1">
      <alignment horizontal="center"/>
    </xf>
    <xf numFmtId="1" fontId="5" fillId="0" borderId="1" xfId="1" applyNumberFormat="1" applyBorder="1" applyAlignment="1" applyProtection="1">
      <alignment horizontal="right"/>
      <protection locked="0"/>
    </xf>
    <xf numFmtId="1" fontId="5" fillId="0" borderId="12" xfId="1" applyNumberFormat="1" applyBorder="1" applyAlignment="1" applyProtection="1">
      <alignment horizontal="right"/>
      <protection locked="0"/>
    </xf>
    <xf numFmtId="0" fontId="6" fillId="3" borderId="12" xfId="1" applyFont="1" applyFill="1" applyBorder="1" applyAlignment="1">
      <alignment horizontal="right"/>
    </xf>
    <xf numFmtId="0" fontId="15" fillId="7" borderId="1" xfId="1" applyFont="1" applyFill="1" applyBorder="1" applyAlignment="1">
      <alignment horizontal="right"/>
    </xf>
    <xf numFmtId="0" fontId="15" fillId="7" borderId="12" xfId="1" applyFont="1" applyFill="1" applyBorder="1" applyAlignment="1">
      <alignment horizontal="right"/>
    </xf>
    <xf numFmtId="165" fontId="5" fillId="0" borderId="1" xfId="1" applyNumberFormat="1" applyBorder="1" applyAlignment="1" applyProtection="1">
      <alignment horizontal="right"/>
      <protection locked="0"/>
    </xf>
    <xf numFmtId="165" fontId="5" fillId="0" borderId="12" xfId="1" applyNumberFormat="1" applyBorder="1" applyAlignment="1" applyProtection="1">
      <alignment horizontal="right"/>
      <protection locked="0"/>
    </xf>
    <xf numFmtId="165" fontId="6" fillId="8" borderId="1" xfId="1" applyNumberFormat="1" applyFont="1" applyFill="1" applyBorder="1" applyAlignment="1">
      <alignment horizontal="right"/>
    </xf>
    <xf numFmtId="165" fontId="6" fillId="8" borderId="12" xfId="1" applyNumberFormat="1" applyFont="1" applyFill="1" applyBorder="1" applyAlignment="1">
      <alignment horizontal="right"/>
    </xf>
    <xf numFmtId="165" fontId="17" fillId="0" borderId="1" xfId="4" applyNumberFormat="1" applyFont="1" applyBorder="1" applyAlignment="1">
      <alignment horizontal="right"/>
    </xf>
    <xf numFmtId="165" fontId="18" fillId="0" borderId="12" xfId="1" applyNumberFormat="1" applyFont="1" applyBorder="1" applyAlignment="1">
      <alignment horizontal="right"/>
    </xf>
    <xf numFmtId="165" fontId="16" fillId="7" borderId="1" xfId="1" applyNumberFormat="1" applyFont="1" applyFill="1" applyBorder="1" applyAlignment="1">
      <alignment horizontal="right"/>
    </xf>
    <xf numFmtId="165" fontId="16" fillId="7" borderId="12" xfId="1" applyNumberFormat="1" applyFont="1" applyFill="1" applyBorder="1" applyAlignment="1">
      <alignment horizontal="right"/>
    </xf>
    <xf numFmtId="0" fontId="16" fillId="7" borderId="1" xfId="1" applyFont="1" applyFill="1" applyBorder="1" applyAlignment="1">
      <alignment horizontal="right"/>
    </xf>
    <xf numFmtId="0" fontId="16" fillId="7" borderId="12" xfId="1" applyFont="1" applyFill="1" applyBorder="1" applyAlignment="1">
      <alignment horizontal="right"/>
    </xf>
    <xf numFmtId="0" fontId="5" fillId="0" borderId="1" xfId="1" applyBorder="1" applyAlignment="1" applyProtection="1">
      <alignment horizontal="right"/>
      <protection locked="0"/>
    </xf>
    <xf numFmtId="0" fontId="5" fillId="0" borderId="12" xfId="1" applyBorder="1" applyAlignment="1" applyProtection="1">
      <alignment horizontal="right"/>
      <protection locked="0"/>
    </xf>
    <xf numFmtId="0" fontId="5" fillId="0" borderId="12" xfId="1" applyBorder="1" applyAlignment="1">
      <alignment horizontal="right"/>
    </xf>
    <xf numFmtId="164" fontId="5" fillId="0" borderId="1" xfId="1" applyNumberFormat="1" applyBorder="1" applyAlignment="1" applyProtection="1">
      <alignment horizontal="right"/>
      <protection locked="0"/>
    </xf>
    <xf numFmtId="1" fontId="5" fillId="8" borderId="7" xfId="1" applyNumberFormat="1" applyFill="1" applyBorder="1" applyAlignment="1" applyProtection="1">
      <alignment horizontal="center"/>
      <protection locked="0"/>
    </xf>
    <xf numFmtId="0" fontId="22" fillId="0" borderId="0" xfId="0" applyFont="1"/>
    <xf numFmtId="0" fontId="24" fillId="7" borderId="0" xfId="0" applyFont="1" applyFill="1" applyAlignment="1">
      <alignment horizontal="center"/>
    </xf>
    <xf numFmtId="0" fontId="24" fillId="7" borderId="0" xfId="0" applyFont="1" applyFill="1"/>
    <xf numFmtId="0" fontId="24" fillId="12" borderId="0" xfId="0" applyFont="1" applyFill="1" applyAlignment="1">
      <alignment horizontal="center"/>
    </xf>
    <xf numFmtId="0" fontId="24" fillId="12" borderId="0" xfId="0" applyFont="1" applyFill="1" applyAlignment="1">
      <alignment horizontal="left"/>
    </xf>
    <xf numFmtId="0" fontId="23" fillId="10" borderId="0" xfId="0" applyFont="1" applyFill="1" applyAlignment="1">
      <alignment horizontal="center"/>
    </xf>
    <xf numFmtId="0" fontId="23" fillId="10" borderId="0" xfId="0" applyFont="1" applyFill="1"/>
    <xf numFmtId="9" fontId="6" fillId="0" borderId="1" xfId="1" applyNumberFormat="1" applyFont="1" applyBorder="1" applyAlignment="1">
      <alignment horizontal="right"/>
    </xf>
    <xf numFmtId="9" fontId="5" fillId="0" borderId="1" xfId="1" applyNumberFormat="1" applyBorder="1" applyAlignment="1">
      <alignment horizontal="right"/>
    </xf>
    <xf numFmtId="9" fontId="5" fillId="5" borderId="1" xfId="1" applyNumberFormat="1" applyFill="1" applyBorder="1" applyAlignment="1">
      <alignment horizontal="right"/>
    </xf>
    <xf numFmtId="9" fontId="16" fillId="5" borderId="1" xfId="1" applyNumberFormat="1" applyFont="1" applyFill="1" applyBorder="1" applyAlignment="1">
      <alignment horizontal="right"/>
    </xf>
    <xf numFmtId="0" fontId="25" fillId="9" borderId="0" xfId="0" applyFont="1" applyFill="1" applyAlignment="1">
      <alignment horizontal="center" vertical="center"/>
    </xf>
    <xf numFmtId="0" fontId="24" fillId="9" borderId="0" xfId="0" applyFont="1" applyFill="1" applyAlignment="1">
      <alignment vertical="center" wrapText="1"/>
    </xf>
    <xf numFmtId="0" fontId="23" fillId="11" borderId="0" xfId="0" applyFont="1" applyFill="1" applyAlignment="1">
      <alignment horizontal="center"/>
    </xf>
    <xf numFmtId="0" fontId="23" fillId="11" borderId="0" xfId="0" applyFont="1" applyFill="1"/>
    <xf numFmtId="3" fontId="5" fillId="8" borderId="6" xfId="1" applyNumberFormat="1" applyFill="1" applyBorder="1" applyAlignment="1" applyProtection="1">
      <alignment horizontal="right"/>
      <protection locked="0"/>
    </xf>
    <xf numFmtId="3" fontId="5" fillId="8" borderId="1" xfId="1" applyNumberFormat="1" applyFill="1" applyBorder="1" applyAlignment="1" applyProtection="1">
      <alignment horizontal="right"/>
      <protection locked="0"/>
    </xf>
    <xf numFmtId="16" fontId="16" fillId="5" borderId="0" xfId="1" applyNumberFormat="1" applyFont="1" applyFill="1" applyAlignment="1">
      <alignment horizontal="center"/>
    </xf>
    <xf numFmtId="165" fontId="5" fillId="8" borderId="1" xfId="1" applyNumberFormat="1" applyFill="1" applyBorder="1" applyAlignment="1" applyProtection="1">
      <alignment horizontal="center"/>
      <protection locked="0"/>
    </xf>
    <xf numFmtId="165" fontId="5" fillId="8" borderId="7" xfId="1" applyNumberFormat="1" applyFill="1" applyBorder="1" applyAlignment="1" applyProtection="1">
      <alignment horizontal="center"/>
      <protection locked="0"/>
    </xf>
    <xf numFmtId="165" fontId="6" fillId="0" borderId="1" xfId="1" applyNumberFormat="1" applyFont="1" applyBorder="1" applyAlignment="1">
      <alignment horizontal="center"/>
    </xf>
    <xf numFmtId="165" fontId="6" fillId="0" borderId="7" xfId="1" applyNumberFormat="1" applyFont="1" applyBorder="1" applyAlignment="1">
      <alignment horizontal="center"/>
    </xf>
    <xf numFmtId="165" fontId="5" fillId="0" borderId="7" xfId="1" applyNumberFormat="1" applyBorder="1" applyAlignment="1">
      <alignment horizontal="center"/>
    </xf>
    <xf numFmtId="165" fontId="5" fillId="5" borderId="7" xfId="1" applyNumberFormat="1" applyFill="1" applyBorder="1" applyAlignment="1">
      <alignment horizontal="center"/>
    </xf>
    <xf numFmtId="165" fontId="5" fillId="0" borderId="1" xfId="1" applyNumberFormat="1" applyBorder="1" applyAlignment="1">
      <alignment horizontal="center"/>
    </xf>
    <xf numFmtId="9" fontId="5" fillId="8" borderId="7" xfId="1" applyNumberFormat="1" applyFill="1" applyBorder="1" applyAlignment="1" applyProtection="1">
      <alignment horizontal="center"/>
      <protection locked="0"/>
    </xf>
    <xf numFmtId="10" fontId="0" fillId="0" borderId="0" xfId="0" applyNumberFormat="1" applyAlignment="1">
      <alignment horizontal="center"/>
    </xf>
    <xf numFmtId="9" fontId="5" fillId="0" borderId="7" xfId="1" applyNumberFormat="1" applyBorder="1" applyAlignment="1" applyProtection="1">
      <alignment horizontal="center"/>
      <protection locked="0"/>
    </xf>
    <xf numFmtId="9" fontId="6" fillId="0" borderId="7" xfId="1" applyNumberFormat="1" applyFont="1" applyBorder="1" applyAlignment="1">
      <alignment horizontal="center"/>
    </xf>
    <xf numFmtId="0" fontId="26" fillId="3" borderId="1" xfId="1" applyFont="1" applyFill="1" applyBorder="1" applyAlignment="1">
      <alignment horizontal="left"/>
    </xf>
    <xf numFmtId="0" fontId="26" fillId="0" borderId="1" xfId="1" applyFont="1" applyBorder="1"/>
    <xf numFmtId="0" fontId="5" fillId="0" borderId="20" xfId="1" applyBorder="1"/>
    <xf numFmtId="0" fontId="27" fillId="0" borderId="21" xfId="1" applyFont="1" applyBorder="1" applyAlignment="1">
      <alignment horizontal="left"/>
    </xf>
    <xf numFmtId="0" fontId="27" fillId="0" borderId="1" xfId="1" applyFont="1" applyBorder="1" applyAlignment="1">
      <alignment horizontal="left"/>
    </xf>
    <xf numFmtId="10" fontId="5" fillId="0" borderId="22" xfId="1" applyNumberFormat="1" applyBorder="1" applyAlignment="1">
      <alignment horizontal="center"/>
    </xf>
    <xf numFmtId="164" fontId="5" fillId="0" borderId="22" xfId="1" applyNumberFormat="1" applyBorder="1" applyAlignment="1">
      <alignment horizontal="center"/>
    </xf>
    <xf numFmtId="1" fontId="5" fillId="0" borderId="7" xfId="1" applyNumberFormat="1" applyBorder="1" applyAlignment="1">
      <alignment horizontal="center"/>
    </xf>
    <xf numFmtId="0" fontId="27" fillId="0" borderId="1" xfId="1" applyFont="1" applyBorder="1"/>
    <xf numFmtId="0" fontId="28" fillId="0" borderId="0" xfId="0" applyFont="1"/>
    <xf numFmtId="0" fontId="6" fillId="8" borderId="23" xfId="1" applyFont="1" applyFill="1" applyBorder="1" applyAlignment="1">
      <alignment horizontal="left"/>
    </xf>
    <xf numFmtId="0" fontId="6" fillId="8" borderId="21" xfId="1" applyFont="1" applyFill="1" applyBorder="1" applyAlignment="1">
      <alignment horizontal="center"/>
    </xf>
    <xf numFmtId="0" fontId="15" fillId="5" borderId="1" xfId="1" applyFont="1" applyFill="1" applyBorder="1" applyAlignment="1">
      <alignment horizontal="center"/>
    </xf>
    <xf numFmtId="16" fontId="16" fillId="5" borderId="1" xfId="1" applyNumberFormat="1" applyFont="1" applyFill="1" applyBorder="1" applyAlignment="1">
      <alignment horizontal="center"/>
    </xf>
    <xf numFmtId="0" fontId="29" fillId="10" borderId="0" xfId="0" applyFont="1" applyFill="1" applyAlignment="1">
      <alignment horizontal="center"/>
    </xf>
    <xf numFmtId="0" fontId="29" fillId="10" borderId="0" xfId="0" applyFont="1" applyFill="1"/>
    <xf numFmtId="0" fontId="25" fillId="7" borderId="0" xfId="0" applyFont="1" applyFill="1" applyAlignment="1">
      <alignment horizontal="center"/>
    </xf>
    <xf numFmtId="0" fontId="25" fillId="7" borderId="0" xfId="0" applyFont="1" applyFill="1"/>
    <xf numFmtId="0" fontId="31" fillId="0" borderId="0" xfId="0" applyFont="1"/>
    <xf numFmtId="166" fontId="0" fillId="0" borderId="0" xfId="3" applyNumberFormat="1" applyFont="1"/>
    <xf numFmtId="165" fontId="0" fillId="0" borderId="0" xfId="0" applyNumberFormat="1"/>
    <xf numFmtId="10" fontId="0" fillId="0" borderId="0" xfId="3" applyNumberFormat="1" applyFont="1"/>
    <xf numFmtId="9" fontId="5" fillId="0" borderId="1" xfId="3" applyFont="1" applyFill="1" applyBorder="1" applyAlignment="1" applyProtection="1">
      <alignment horizontal="right"/>
      <protection locked="0"/>
    </xf>
    <xf numFmtId="165" fontId="0" fillId="0" borderId="1" xfId="0" applyNumberFormat="1" applyBorder="1"/>
    <xf numFmtId="0" fontId="26" fillId="0" borderId="21" xfId="1" applyFont="1" applyBorder="1"/>
    <xf numFmtId="0" fontId="0" fillId="0" borderId="4" xfId="0" applyBorder="1"/>
    <xf numFmtId="10" fontId="5" fillId="0" borderId="0" xfId="1" applyNumberFormat="1"/>
    <xf numFmtId="9" fontId="0" fillId="0" borderId="0" xfId="3" applyFont="1"/>
    <xf numFmtId="165" fontId="0" fillId="0" borderId="0" xfId="5" applyNumberFormat="1" applyFont="1"/>
    <xf numFmtId="167" fontId="0" fillId="0" borderId="0" xfId="5" applyNumberFormat="1" applyFont="1"/>
    <xf numFmtId="10" fontId="5" fillId="0" borderId="0" xfId="3" applyNumberFormat="1" applyFont="1"/>
    <xf numFmtId="2" fontId="0" fillId="0" borderId="0" xfId="0" applyNumberFormat="1"/>
    <xf numFmtId="165" fontId="33" fillId="0" borderId="1" xfId="1" applyNumberFormat="1" applyFont="1" applyBorder="1" applyAlignment="1" applyProtection="1">
      <alignment horizontal="right"/>
      <protection locked="0"/>
    </xf>
    <xf numFmtId="10" fontId="0" fillId="0" borderId="0" xfId="0" applyNumberFormat="1"/>
    <xf numFmtId="10" fontId="1" fillId="0" borderId="0" xfId="3" applyNumberFormat="1" applyFont="1"/>
    <xf numFmtId="2" fontId="0" fillId="13" borderId="0" xfId="0" applyNumberFormat="1" applyFill="1"/>
    <xf numFmtId="165" fontId="5" fillId="14" borderId="1" xfId="1" applyNumberFormat="1" applyFill="1" applyBorder="1" applyAlignment="1" applyProtection="1">
      <alignment horizontal="right"/>
      <protection locked="0"/>
    </xf>
    <xf numFmtId="44" fontId="5" fillId="0" borderId="1" xfId="5" applyFont="1" applyBorder="1" applyAlignment="1" applyProtection="1">
      <alignment horizontal="right"/>
      <protection locked="0"/>
    </xf>
    <xf numFmtId="165" fontId="33" fillId="14" borderId="1" xfId="1" applyNumberFormat="1" applyFont="1" applyFill="1" applyBorder="1" applyAlignment="1" applyProtection="1">
      <alignment horizontal="right"/>
      <protection locked="0"/>
    </xf>
    <xf numFmtId="0" fontId="5" fillId="0" borderId="9" xfId="1" applyBorder="1" applyAlignment="1" applyProtection="1">
      <alignment horizontal="right"/>
      <protection locked="0"/>
    </xf>
    <xf numFmtId="0" fontId="5" fillId="0" borderId="24" xfId="1" applyBorder="1" applyAlignment="1" applyProtection="1">
      <alignment horizontal="right"/>
      <protection locked="0"/>
    </xf>
    <xf numFmtId="165" fontId="1" fillId="0" borderId="0" xfId="0" applyNumberFormat="1" applyFont="1"/>
    <xf numFmtId="44" fontId="5" fillId="0" borderId="12" xfId="5" applyFont="1" applyBorder="1" applyAlignment="1" applyProtection="1">
      <alignment horizontal="right"/>
      <protection locked="0"/>
    </xf>
    <xf numFmtId="168" fontId="5" fillId="8" borderId="1" xfId="5" applyNumberFormat="1" applyFont="1" applyFill="1" applyBorder="1" applyAlignment="1" applyProtection="1">
      <alignment horizontal="center" vertical="center"/>
      <protection locked="0"/>
    </xf>
    <xf numFmtId="168" fontId="5" fillId="8" borderId="7" xfId="5" applyNumberFormat="1" applyFont="1" applyFill="1" applyBorder="1" applyAlignment="1" applyProtection="1">
      <alignment horizontal="center" vertical="center"/>
      <protection locked="0"/>
    </xf>
    <xf numFmtId="169" fontId="0" fillId="0" borderId="0" xfId="0" applyNumberFormat="1"/>
    <xf numFmtId="165" fontId="33" fillId="15" borderId="1" xfId="1" applyNumberFormat="1" applyFont="1" applyFill="1" applyBorder="1" applyAlignment="1" applyProtection="1">
      <alignment horizontal="right"/>
      <protection locked="0"/>
    </xf>
    <xf numFmtId="165" fontId="5" fillId="15" borderId="1" xfId="1" applyNumberFormat="1" applyFill="1" applyBorder="1" applyAlignment="1" applyProtection="1">
      <alignment horizontal="right"/>
      <protection locked="0"/>
    </xf>
    <xf numFmtId="44" fontId="0" fillId="0" borderId="0" xfId="5" applyFont="1"/>
    <xf numFmtId="17" fontId="14" fillId="4" borderId="0" xfId="2" applyNumberFormat="1" applyFont="1" applyFill="1" applyAlignment="1">
      <alignment horizontal="center" vertical="center"/>
    </xf>
    <xf numFmtId="0" fontId="19" fillId="4" borderId="0" xfId="0" applyFont="1" applyFill="1" applyAlignment="1">
      <alignment horizontal="center"/>
    </xf>
    <xf numFmtId="17" fontId="14" fillId="5" borderId="0" xfId="2" applyNumberFormat="1" applyFont="1" applyFill="1" applyAlignment="1">
      <alignment horizontal="center" vertical="center"/>
    </xf>
    <xf numFmtId="0" fontId="16" fillId="5" borderId="17" xfId="1" applyFont="1" applyFill="1" applyBorder="1" applyAlignment="1">
      <alignment horizontal="center"/>
    </xf>
    <xf numFmtId="0" fontId="16" fillId="5" borderId="18" xfId="1" applyFont="1" applyFill="1" applyBorder="1" applyAlignment="1">
      <alignment horizontal="center"/>
    </xf>
    <xf numFmtId="0" fontId="16" fillId="5" borderId="19" xfId="1" applyFont="1" applyFill="1" applyBorder="1" applyAlignment="1">
      <alignment horizontal="center"/>
    </xf>
    <xf numFmtId="0" fontId="7" fillId="2" borderId="0" xfId="1" applyFont="1" applyFill="1" applyAlignment="1">
      <alignment horizontal="center" wrapText="1"/>
    </xf>
    <xf numFmtId="0" fontId="8" fillId="2" borderId="0" xfId="1" applyFont="1" applyFill="1" applyAlignment="1">
      <alignment horizontal="center" wrapText="1"/>
    </xf>
    <xf numFmtId="0" fontId="10" fillId="0" borderId="0" xfId="0" applyFont="1" applyAlignment="1">
      <alignment horizontal="left"/>
    </xf>
  </cellXfs>
  <cellStyles count="6">
    <cellStyle name="Comma" xfId="4" builtinId="3"/>
    <cellStyle name="Currency" xfId="5" builtinId="4"/>
    <cellStyle name="Normal" xfId="0" builtinId="0"/>
    <cellStyle name="Normal_GaryDoctoFormat" xfId="1" xr:uid="{00000000-0005-0000-0000-000003000000}"/>
    <cellStyle name="Normal_TruMethods-PricingSampleSheet" xfId="2" xr:uid="{00000000-0005-0000-0000-000004000000}"/>
    <cellStyle name="Percent" xfId="3" builtinId="5"/>
  </cellStyles>
  <dxfs count="3">
    <dxf>
      <font>
        <condense val="0"/>
        <extend val="0"/>
        <color rgb="FF9C0006"/>
      </font>
    </dxf>
    <dxf>
      <font>
        <condense val="0"/>
        <extend val="0"/>
        <color rgb="FF9C0006"/>
      </font>
    </dxf>
    <dxf>
      <font>
        <condense val="0"/>
        <extend val="0"/>
        <color rgb="FF9C000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E8EECA"/>
      <rgbColor rgb="00CADB80"/>
      <rgbColor rgb="00B3CC4C"/>
      <rgbColor rgb="0063AAFE"/>
      <rgbColor rgb="00DD2D32"/>
      <rgbColor rgb="00FFF58C"/>
      <rgbColor rgb="004EE257"/>
      <rgbColor rgb="006711FF"/>
      <rgbColor rgb="00BFDAE3"/>
      <rgbColor rgb="007FB4C7"/>
      <rgbColor rgb="00226A94"/>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0066"/>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manualLayout>
          <c:layoutTarget val="inner"/>
          <c:xMode val="edge"/>
          <c:yMode val="edge"/>
          <c:x val="8.607174103237096E-2"/>
          <c:y val="0.18091462525517643"/>
          <c:w val="0.88337270341207352"/>
          <c:h val="0.68921660834062404"/>
        </c:manualLayout>
      </c:layout>
      <c:barChart>
        <c:barDir val="col"/>
        <c:grouping val="clustered"/>
        <c:varyColors val="0"/>
        <c:ser>
          <c:idx val="1"/>
          <c:order val="0"/>
          <c:tx>
            <c:strRef>
              <c:f>'SmartNumbers2024-2025'!$A$8</c:f>
              <c:strCache>
                <c:ptCount val="1"/>
                <c:pt idx="0">
                  <c:v>Reactive Tickets / Tech / Month (closed)</c:v>
                </c:pt>
              </c:strCache>
            </c:strRef>
          </c:tx>
          <c:invertIfNegative val="0"/>
          <c:cat>
            <c:strRef>
              <c:f>'SmartNumbers2024-2025'!$B$6:$I$6</c:f>
              <c:strCache>
                <c:ptCount val="8"/>
                <c:pt idx="0">
                  <c:v>Q1 2024</c:v>
                </c:pt>
                <c:pt idx="1">
                  <c:v>Q2 2024</c:v>
                </c:pt>
                <c:pt idx="2">
                  <c:v>Q3 2024</c:v>
                </c:pt>
                <c:pt idx="3">
                  <c:v>Q4 2024</c:v>
                </c:pt>
                <c:pt idx="4">
                  <c:v>Q1 2025</c:v>
                </c:pt>
                <c:pt idx="5">
                  <c:v>Q2 2025</c:v>
                </c:pt>
                <c:pt idx="6">
                  <c:v>Q3 2025</c:v>
                </c:pt>
                <c:pt idx="7">
                  <c:v>Q4 2025</c:v>
                </c:pt>
              </c:strCache>
            </c:strRef>
          </c:cat>
          <c:val>
            <c:numRef>
              <c:f>'SmartNumbers2024-2025'!$B$8:$I$8</c:f>
              <c:numCache>
                <c:formatCode>0.00</c:formatCode>
                <c:ptCount val="8"/>
                <c:pt idx="0">
                  <c:v>0</c:v>
                </c:pt>
                <c:pt idx="1">
                  <c:v>0</c:v>
                </c:pt>
                <c:pt idx="2">
                  <c:v>0</c:v>
                </c:pt>
                <c:pt idx="3">
                  <c:v>0</c:v>
                </c:pt>
                <c:pt idx="4">
                  <c:v>65.454545454545453</c:v>
                </c:pt>
                <c:pt idx="5">
                  <c:v>74.606060606060609</c:v>
                </c:pt>
                <c:pt idx="6">
                  <c:v>70.064516129032256</c:v>
                </c:pt>
                <c:pt idx="7">
                  <c:v>64.36363636363636</c:v>
                </c:pt>
              </c:numCache>
            </c:numRef>
          </c:val>
          <c:extLst>
            <c:ext xmlns:c16="http://schemas.microsoft.com/office/drawing/2014/chart" uri="{C3380CC4-5D6E-409C-BE32-E72D297353CC}">
              <c16:uniqueId val="{00000000-D967-40E3-A302-2E7671721881}"/>
            </c:ext>
          </c:extLst>
        </c:ser>
        <c:dLbls>
          <c:showLegendKey val="0"/>
          <c:showVal val="0"/>
          <c:showCatName val="0"/>
          <c:showSerName val="0"/>
          <c:showPercent val="0"/>
          <c:showBubbleSize val="0"/>
        </c:dLbls>
        <c:gapWidth val="75"/>
        <c:overlap val="-25"/>
        <c:axId val="371275368"/>
        <c:axId val="268177576"/>
      </c:barChart>
      <c:catAx>
        <c:axId val="371275368"/>
        <c:scaling>
          <c:orientation val="minMax"/>
        </c:scaling>
        <c:delete val="0"/>
        <c:axPos val="b"/>
        <c:numFmt formatCode="General" sourceLinked="0"/>
        <c:majorTickMark val="none"/>
        <c:minorTickMark val="none"/>
        <c:tickLblPos val="nextTo"/>
        <c:crossAx val="268177576"/>
        <c:crosses val="autoZero"/>
        <c:auto val="1"/>
        <c:lblAlgn val="ctr"/>
        <c:lblOffset val="100"/>
        <c:noMultiLvlLbl val="0"/>
      </c:catAx>
      <c:valAx>
        <c:axId val="268177576"/>
        <c:scaling>
          <c:orientation val="minMax"/>
        </c:scaling>
        <c:delete val="0"/>
        <c:axPos val="l"/>
        <c:majorGridlines/>
        <c:numFmt formatCode="General" sourceLinked="0"/>
        <c:majorTickMark val="none"/>
        <c:minorTickMark val="none"/>
        <c:tickLblPos val="nextTo"/>
        <c:spPr>
          <a:ln w="9525">
            <a:noFill/>
          </a:ln>
        </c:spPr>
        <c:crossAx val="371275368"/>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'SmartNumbers2024-2025'!$A$9</c:f>
              <c:strCache>
                <c:ptCount val="1"/>
                <c:pt idx="0">
                  <c:v>Total Close %</c:v>
                </c:pt>
              </c:strCache>
            </c:strRef>
          </c:tx>
          <c:cat>
            <c:strRef>
              <c:f>'SmartNumbers2024-2025'!$B$6:$I$6</c:f>
              <c:strCache>
                <c:ptCount val="8"/>
                <c:pt idx="0">
                  <c:v>Q1 2024</c:v>
                </c:pt>
                <c:pt idx="1">
                  <c:v>Q2 2024</c:v>
                </c:pt>
                <c:pt idx="2">
                  <c:v>Q3 2024</c:v>
                </c:pt>
                <c:pt idx="3">
                  <c:v>Q4 2024</c:v>
                </c:pt>
                <c:pt idx="4">
                  <c:v>Q1 2025</c:v>
                </c:pt>
                <c:pt idx="5">
                  <c:v>Q2 2025</c:v>
                </c:pt>
                <c:pt idx="6">
                  <c:v>Q3 2025</c:v>
                </c:pt>
                <c:pt idx="7">
                  <c:v>Q4 2025</c:v>
                </c:pt>
              </c:strCache>
            </c:strRef>
          </c:cat>
          <c:val>
            <c:numRef>
              <c:f>'SmartNumbers2024-2025'!$B$9:$I$9</c:f>
              <c:numCache>
                <c:formatCode>0.00%</c:formatCode>
                <c:ptCount val="8"/>
                <c:pt idx="0">
                  <c:v>0</c:v>
                </c:pt>
                <c:pt idx="1">
                  <c:v>0</c:v>
                </c:pt>
                <c:pt idx="2">
                  <c:v>0</c:v>
                </c:pt>
                <c:pt idx="3">
                  <c:v>0</c:v>
                </c:pt>
                <c:pt idx="4">
                  <c:v>0.99907493061979646</c:v>
                </c:pt>
                <c:pt idx="5">
                  <c:v>0.99194198227236097</c:v>
                </c:pt>
                <c:pt idx="6">
                  <c:v>1.0055555555555555</c:v>
                </c:pt>
                <c:pt idx="7">
                  <c:v>0.98060941828254844</c:v>
                </c:pt>
              </c:numCache>
            </c:numRef>
          </c:val>
          <c:smooth val="0"/>
          <c:extLst>
            <c:ext xmlns:c16="http://schemas.microsoft.com/office/drawing/2014/chart" uri="{C3380CC4-5D6E-409C-BE32-E72D297353CC}">
              <c16:uniqueId val="{00000000-28BF-4D7C-AF73-6B1E5BF137C4}"/>
            </c:ext>
          </c:extLst>
        </c:ser>
        <c:dLbls>
          <c:showLegendKey val="0"/>
          <c:showVal val="0"/>
          <c:showCatName val="0"/>
          <c:showSerName val="0"/>
          <c:showPercent val="0"/>
          <c:showBubbleSize val="0"/>
        </c:dLbls>
        <c:marker val="1"/>
        <c:smooth val="0"/>
        <c:axId val="371301992"/>
        <c:axId val="6609928"/>
      </c:lineChart>
      <c:catAx>
        <c:axId val="371301992"/>
        <c:scaling>
          <c:orientation val="minMax"/>
        </c:scaling>
        <c:delete val="0"/>
        <c:axPos val="b"/>
        <c:numFmt formatCode="General" sourceLinked="0"/>
        <c:majorTickMark val="none"/>
        <c:minorTickMark val="none"/>
        <c:tickLblPos val="nextTo"/>
        <c:crossAx val="6609928"/>
        <c:crosses val="autoZero"/>
        <c:auto val="1"/>
        <c:lblAlgn val="ctr"/>
        <c:lblOffset val="100"/>
        <c:noMultiLvlLbl val="0"/>
      </c:catAx>
      <c:valAx>
        <c:axId val="6609928"/>
        <c:scaling>
          <c:orientation val="minMax"/>
        </c:scaling>
        <c:delete val="0"/>
        <c:axPos val="l"/>
        <c:majorGridlines/>
        <c:numFmt formatCode="0.00%" sourceLinked="1"/>
        <c:majorTickMark val="none"/>
        <c:minorTickMark val="none"/>
        <c:tickLblPos val="nextTo"/>
        <c:spPr>
          <a:ln w="9525">
            <a:noFill/>
          </a:ln>
        </c:spPr>
        <c:crossAx val="371301992"/>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'SmartNumbers2024-2025'!$A$10</c:f>
              <c:strCache>
                <c:ptCount val="1"/>
                <c:pt idx="0">
                  <c:v>Reactive Tickets / Endpoint / Month (new)</c:v>
                </c:pt>
              </c:strCache>
            </c:strRef>
          </c:tx>
          <c:invertIfNegative val="0"/>
          <c:cat>
            <c:strRef>
              <c:f>'SmartNumbers2024-2025'!$B$6:$I$6</c:f>
              <c:strCache>
                <c:ptCount val="8"/>
                <c:pt idx="0">
                  <c:v>Q1 2024</c:v>
                </c:pt>
                <c:pt idx="1">
                  <c:v>Q2 2024</c:v>
                </c:pt>
                <c:pt idx="2">
                  <c:v>Q3 2024</c:v>
                </c:pt>
                <c:pt idx="3">
                  <c:v>Q4 2024</c:v>
                </c:pt>
                <c:pt idx="4">
                  <c:v>Q1 2025</c:v>
                </c:pt>
                <c:pt idx="5">
                  <c:v>Q2 2025</c:v>
                </c:pt>
                <c:pt idx="6">
                  <c:v>Q3 2025</c:v>
                </c:pt>
                <c:pt idx="7">
                  <c:v>Q4 2025</c:v>
                </c:pt>
              </c:strCache>
            </c:strRef>
          </c:cat>
          <c:val>
            <c:numRef>
              <c:f>'SmartNumbers2024-2025'!$B$10:$I$10</c:f>
              <c:numCache>
                <c:formatCode>0.00</c:formatCode>
                <c:ptCount val="8"/>
                <c:pt idx="0">
                  <c:v>0</c:v>
                </c:pt>
                <c:pt idx="1">
                  <c:v>0</c:v>
                </c:pt>
                <c:pt idx="2">
                  <c:v>0</c:v>
                </c:pt>
                <c:pt idx="3">
                  <c:v>0</c:v>
                </c:pt>
                <c:pt idx="4">
                  <c:v>0.60662177328843991</c:v>
                </c:pt>
                <c:pt idx="5">
                  <c:v>0.66936353829557715</c:v>
                </c:pt>
                <c:pt idx="6">
                  <c:v>0.62973760932944611</c:v>
                </c:pt>
                <c:pt idx="7">
                  <c:v>0.31282495667244364</c:v>
                </c:pt>
              </c:numCache>
            </c:numRef>
          </c:val>
          <c:extLst>
            <c:ext xmlns:c16="http://schemas.microsoft.com/office/drawing/2014/chart" uri="{C3380CC4-5D6E-409C-BE32-E72D297353CC}">
              <c16:uniqueId val="{00000000-4F04-46ED-8C1A-220A73EDF87C}"/>
            </c:ext>
          </c:extLst>
        </c:ser>
        <c:dLbls>
          <c:showLegendKey val="0"/>
          <c:showVal val="0"/>
          <c:showCatName val="0"/>
          <c:showSerName val="0"/>
          <c:showPercent val="0"/>
          <c:showBubbleSize val="0"/>
        </c:dLbls>
        <c:gapWidth val="75"/>
        <c:overlap val="-25"/>
        <c:axId val="430084664"/>
        <c:axId val="430085056"/>
      </c:barChart>
      <c:catAx>
        <c:axId val="430084664"/>
        <c:scaling>
          <c:orientation val="minMax"/>
        </c:scaling>
        <c:delete val="0"/>
        <c:axPos val="b"/>
        <c:numFmt formatCode="General" sourceLinked="0"/>
        <c:majorTickMark val="none"/>
        <c:minorTickMark val="none"/>
        <c:tickLblPos val="nextTo"/>
        <c:crossAx val="430085056"/>
        <c:crosses val="autoZero"/>
        <c:auto val="1"/>
        <c:lblAlgn val="ctr"/>
        <c:lblOffset val="100"/>
        <c:noMultiLvlLbl val="0"/>
      </c:catAx>
      <c:valAx>
        <c:axId val="430085056"/>
        <c:scaling>
          <c:orientation val="minMax"/>
        </c:scaling>
        <c:delete val="0"/>
        <c:axPos val="l"/>
        <c:majorGridlines/>
        <c:numFmt formatCode="0.00" sourceLinked="1"/>
        <c:majorTickMark val="none"/>
        <c:minorTickMark val="none"/>
        <c:tickLblPos val="nextTo"/>
        <c:spPr>
          <a:ln w="9525">
            <a:noFill/>
          </a:ln>
        </c:spPr>
        <c:crossAx val="430084664"/>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'SmartNumbers2024-2025'!$A$12</c:f>
              <c:strCache>
                <c:ptCount val="1"/>
                <c:pt idx="0">
                  <c:v>Average Resolution Time</c:v>
                </c:pt>
              </c:strCache>
            </c:strRef>
          </c:tx>
          <c:invertIfNegative val="0"/>
          <c:cat>
            <c:strRef>
              <c:f>'SmartNumbers2024-2025'!$B$6:$I$6</c:f>
              <c:strCache>
                <c:ptCount val="8"/>
                <c:pt idx="0">
                  <c:v>Q1 2024</c:v>
                </c:pt>
                <c:pt idx="1">
                  <c:v>Q2 2024</c:v>
                </c:pt>
                <c:pt idx="2">
                  <c:v>Q3 2024</c:v>
                </c:pt>
                <c:pt idx="3">
                  <c:v>Q4 2024</c:v>
                </c:pt>
                <c:pt idx="4">
                  <c:v>Q1 2025</c:v>
                </c:pt>
                <c:pt idx="5">
                  <c:v>Q2 2025</c:v>
                </c:pt>
                <c:pt idx="6">
                  <c:v>Q3 2025</c:v>
                </c:pt>
                <c:pt idx="7">
                  <c:v>Q4 2025</c:v>
                </c:pt>
              </c:strCache>
            </c:strRef>
          </c:cat>
          <c:val>
            <c:numRef>
              <c:f>'SmartNumbers2024-2025'!$B$12:$I$12</c:f>
              <c:numCache>
                <c:formatCode>0.00</c:formatCode>
                <c:ptCount val="8"/>
                <c:pt idx="0">
                  <c:v>0</c:v>
                </c:pt>
                <c:pt idx="1">
                  <c:v>0</c:v>
                </c:pt>
                <c:pt idx="2">
                  <c:v>0</c:v>
                </c:pt>
                <c:pt idx="3">
                  <c:v>0</c:v>
                </c:pt>
                <c:pt idx="4">
                  <c:v>0.41870370370370369</c:v>
                </c:pt>
                <c:pt idx="5">
                  <c:v>0.32511779041429734</c:v>
                </c:pt>
                <c:pt idx="6">
                  <c:v>0</c:v>
                </c:pt>
                <c:pt idx="7">
                  <c:v>0</c:v>
                </c:pt>
              </c:numCache>
            </c:numRef>
          </c:val>
          <c:extLst>
            <c:ext xmlns:c16="http://schemas.microsoft.com/office/drawing/2014/chart" uri="{C3380CC4-5D6E-409C-BE32-E72D297353CC}">
              <c16:uniqueId val="{00000000-F425-4EF5-80DC-49039B5E0891}"/>
            </c:ext>
          </c:extLst>
        </c:ser>
        <c:dLbls>
          <c:showLegendKey val="0"/>
          <c:showVal val="0"/>
          <c:showCatName val="0"/>
          <c:showSerName val="0"/>
          <c:showPercent val="0"/>
          <c:showBubbleSize val="0"/>
        </c:dLbls>
        <c:gapWidth val="75"/>
        <c:overlap val="-25"/>
        <c:axId val="430086232"/>
        <c:axId val="430109240"/>
      </c:barChart>
      <c:catAx>
        <c:axId val="430086232"/>
        <c:scaling>
          <c:orientation val="minMax"/>
        </c:scaling>
        <c:delete val="0"/>
        <c:axPos val="b"/>
        <c:numFmt formatCode="General" sourceLinked="0"/>
        <c:majorTickMark val="none"/>
        <c:minorTickMark val="none"/>
        <c:tickLblPos val="nextTo"/>
        <c:crossAx val="430109240"/>
        <c:crosses val="autoZero"/>
        <c:auto val="1"/>
        <c:lblAlgn val="ctr"/>
        <c:lblOffset val="100"/>
        <c:noMultiLvlLbl val="0"/>
      </c:catAx>
      <c:valAx>
        <c:axId val="430109240"/>
        <c:scaling>
          <c:orientation val="minMax"/>
        </c:scaling>
        <c:delete val="0"/>
        <c:axPos val="l"/>
        <c:majorGridlines/>
        <c:numFmt formatCode="0.00" sourceLinked="1"/>
        <c:majorTickMark val="none"/>
        <c:minorTickMark val="none"/>
        <c:tickLblPos val="nextTo"/>
        <c:spPr>
          <a:ln w="9525">
            <a:noFill/>
          </a:ln>
        </c:spPr>
        <c:crossAx val="430086232"/>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Net Profit</a:t>
            </a:r>
          </a:p>
        </c:rich>
      </c:tx>
      <c:overlay val="0"/>
    </c:title>
    <c:autoTitleDeleted val="0"/>
    <c:plotArea>
      <c:layout>
        <c:manualLayout>
          <c:layoutTarget val="inner"/>
          <c:xMode val="edge"/>
          <c:yMode val="edge"/>
          <c:x val="0.1311968503937008"/>
          <c:y val="6.9803514144065312E-2"/>
          <c:w val="0.82991426071741037"/>
          <c:h val="0.79371099445902593"/>
        </c:manualLayout>
      </c:layout>
      <c:barChart>
        <c:barDir val="col"/>
        <c:grouping val="clustered"/>
        <c:varyColors val="0"/>
        <c:ser>
          <c:idx val="0"/>
          <c:order val="0"/>
          <c:invertIfNegative val="0"/>
          <c:cat>
            <c:strRef>
              <c:f>'SmartNumbers2024-2025'!$B$6:$I$6</c:f>
              <c:strCache>
                <c:ptCount val="8"/>
                <c:pt idx="0">
                  <c:v>Q1 2024</c:v>
                </c:pt>
                <c:pt idx="1">
                  <c:v>Q2 2024</c:v>
                </c:pt>
                <c:pt idx="2">
                  <c:v>Q3 2024</c:v>
                </c:pt>
                <c:pt idx="3">
                  <c:v>Q4 2024</c:v>
                </c:pt>
                <c:pt idx="4">
                  <c:v>Q1 2025</c:v>
                </c:pt>
                <c:pt idx="5">
                  <c:v>Q2 2025</c:v>
                </c:pt>
                <c:pt idx="6">
                  <c:v>Q3 2025</c:v>
                </c:pt>
                <c:pt idx="7">
                  <c:v>Q4 2025</c:v>
                </c:pt>
              </c:strCache>
            </c:strRef>
          </c:cat>
          <c:val>
            <c:numRef>
              <c:f>'SmartNumbers2024-2025'!$B$15:$I$15</c:f>
              <c:numCache>
                <c:formatCode>0.00%</c:formatCode>
                <c:ptCount val="8"/>
                <c:pt idx="0">
                  <c:v>6.7217361757193367E-2</c:v>
                </c:pt>
                <c:pt idx="1">
                  <c:v>4.8777761164680487E-2</c:v>
                </c:pt>
                <c:pt idx="2">
                  <c:v>6.5176027757486057E-2</c:v>
                </c:pt>
                <c:pt idx="3">
                  <c:v>6.9243069084222231E-2</c:v>
                </c:pt>
                <c:pt idx="4">
                  <c:v>0.1047578882269167</c:v>
                </c:pt>
                <c:pt idx="5">
                  <c:v>0.10855307217591917</c:v>
                </c:pt>
                <c:pt idx="6">
                  <c:v>0.11865078250202495</c:v>
                </c:pt>
                <c:pt idx="7">
                  <c:v>0.17389481487064076</c:v>
                </c:pt>
              </c:numCache>
            </c:numRef>
          </c:val>
          <c:extLst>
            <c:ext xmlns:c16="http://schemas.microsoft.com/office/drawing/2014/chart" uri="{C3380CC4-5D6E-409C-BE32-E72D297353CC}">
              <c16:uniqueId val="{00000000-F7FF-4F55-87FF-45EAC5B47D2E}"/>
            </c:ext>
          </c:extLst>
        </c:ser>
        <c:dLbls>
          <c:showLegendKey val="0"/>
          <c:showVal val="0"/>
          <c:showCatName val="0"/>
          <c:showSerName val="0"/>
          <c:showPercent val="0"/>
          <c:showBubbleSize val="0"/>
        </c:dLbls>
        <c:gapWidth val="75"/>
        <c:overlap val="-25"/>
        <c:axId val="430110024"/>
        <c:axId val="430110416"/>
      </c:barChart>
      <c:lineChart>
        <c:grouping val="standard"/>
        <c:varyColors val="0"/>
        <c:ser>
          <c:idx val="1"/>
          <c:order val="1"/>
          <c:tx>
            <c:v>Low</c:v>
          </c:tx>
          <c:spPr>
            <a:ln>
              <a:solidFill>
                <a:srgbClr val="FF0000"/>
              </a:solidFill>
            </a:ln>
          </c:spPr>
          <c:marker>
            <c:symbol val="none"/>
          </c:marker>
          <c:cat>
            <c:strRef>
              <c:f>'SmartNumbers2024-2025'!$B$6:$I$6</c:f>
              <c:strCache>
                <c:ptCount val="8"/>
                <c:pt idx="0">
                  <c:v>Q1 2024</c:v>
                </c:pt>
                <c:pt idx="1">
                  <c:v>Q2 2024</c:v>
                </c:pt>
                <c:pt idx="2">
                  <c:v>Q3 2024</c:v>
                </c:pt>
                <c:pt idx="3">
                  <c:v>Q4 2024</c:v>
                </c:pt>
                <c:pt idx="4">
                  <c:v>Q1 2025</c:v>
                </c:pt>
                <c:pt idx="5">
                  <c:v>Q2 2025</c:v>
                </c:pt>
                <c:pt idx="6">
                  <c:v>Q3 2025</c:v>
                </c:pt>
                <c:pt idx="7">
                  <c:v>Q4 2025</c:v>
                </c:pt>
              </c:strCache>
            </c:strRef>
          </c:cat>
          <c:val>
            <c:numRef>
              <c:f>Ranges!$C$2:$J$2</c:f>
              <c:numCache>
                <c:formatCode>0%</c:formatCode>
                <c:ptCount val="8"/>
                <c:pt idx="0">
                  <c:v>0.15</c:v>
                </c:pt>
                <c:pt idx="1">
                  <c:v>0.15</c:v>
                </c:pt>
                <c:pt idx="2">
                  <c:v>0.15</c:v>
                </c:pt>
                <c:pt idx="3">
                  <c:v>0.15</c:v>
                </c:pt>
                <c:pt idx="4">
                  <c:v>0.15</c:v>
                </c:pt>
                <c:pt idx="5">
                  <c:v>0.15</c:v>
                </c:pt>
                <c:pt idx="6">
                  <c:v>0.15</c:v>
                </c:pt>
                <c:pt idx="7">
                  <c:v>0.15</c:v>
                </c:pt>
              </c:numCache>
            </c:numRef>
          </c:val>
          <c:smooth val="0"/>
          <c:extLst>
            <c:ext xmlns:c16="http://schemas.microsoft.com/office/drawing/2014/chart" uri="{C3380CC4-5D6E-409C-BE32-E72D297353CC}">
              <c16:uniqueId val="{00000001-F7FF-4F55-87FF-45EAC5B47D2E}"/>
            </c:ext>
          </c:extLst>
        </c:ser>
        <c:ser>
          <c:idx val="2"/>
          <c:order val="2"/>
          <c:tx>
            <c:v>Average</c:v>
          </c:tx>
          <c:spPr>
            <a:ln>
              <a:solidFill>
                <a:srgbClr val="FFFF00"/>
              </a:solidFill>
            </a:ln>
          </c:spPr>
          <c:marker>
            <c:symbol val="none"/>
          </c:marker>
          <c:val>
            <c:numRef>
              <c:f>Ranges!$C$3:$J$3</c:f>
              <c:numCache>
                <c:formatCode>0%</c:formatCode>
                <c:ptCount val="8"/>
                <c:pt idx="0">
                  <c:v>0.25</c:v>
                </c:pt>
                <c:pt idx="1">
                  <c:v>0.25</c:v>
                </c:pt>
                <c:pt idx="2">
                  <c:v>0.25</c:v>
                </c:pt>
                <c:pt idx="3">
                  <c:v>0.25</c:v>
                </c:pt>
                <c:pt idx="4">
                  <c:v>0.25</c:v>
                </c:pt>
                <c:pt idx="5">
                  <c:v>0.25</c:v>
                </c:pt>
                <c:pt idx="6">
                  <c:v>0.25</c:v>
                </c:pt>
                <c:pt idx="7">
                  <c:v>0.25</c:v>
                </c:pt>
              </c:numCache>
            </c:numRef>
          </c:val>
          <c:smooth val="0"/>
          <c:extLst>
            <c:ext xmlns:c16="http://schemas.microsoft.com/office/drawing/2014/chart" uri="{C3380CC4-5D6E-409C-BE32-E72D297353CC}">
              <c16:uniqueId val="{00000002-F7FF-4F55-87FF-45EAC5B47D2E}"/>
            </c:ext>
          </c:extLst>
        </c:ser>
        <c:ser>
          <c:idx val="3"/>
          <c:order val="3"/>
          <c:tx>
            <c:v>High</c:v>
          </c:tx>
          <c:spPr>
            <a:ln>
              <a:solidFill>
                <a:srgbClr val="00B050"/>
              </a:solidFill>
            </a:ln>
          </c:spPr>
          <c:marker>
            <c:symbol val="none"/>
          </c:marker>
          <c:val>
            <c:numRef>
              <c:f>Ranges!$C$4:$J$4</c:f>
              <c:numCache>
                <c:formatCode>0%</c:formatCode>
                <c:ptCount val="8"/>
                <c:pt idx="0">
                  <c:v>0.35</c:v>
                </c:pt>
                <c:pt idx="1">
                  <c:v>0.35</c:v>
                </c:pt>
                <c:pt idx="2">
                  <c:v>0.35</c:v>
                </c:pt>
                <c:pt idx="3">
                  <c:v>0.35</c:v>
                </c:pt>
                <c:pt idx="4">
                  <c:v>0.35</c:v>
                </c:pt>
                <c:pt idx="5">
                  <c:v>0.35</c:v>
                </c:pt>
                <c:pt idx="6">
                  <c:v>0.35</c:v>
                </c:pt>
                <c:pt idx="7">
                  <c:v>0.35</c:v>
                </c:pt>
              </c:numCache>
            </c:numRef>
          </c:val>
          <c:smooth val="0"/>
          <c:extLst>
            <c:ext xmlns:c16="http://schemas.microsoft.com/office/drawing/2014/chart" uri="{C3380CC4-5D6E-409C-BE32-E72D297353CC}">
              <c16:uniqueId val="{00000003-F7FF-4F55-87FF-45EAC5B47D2E}"/>
            </c:ext>
          </c:extLst>
        </c:ser>
        <c:dLbls>
          <c:showLegendKey val="0"/>
          <c:showVal val="0"/>
          <c:showCatName val="0"/>
          <c:showSerName val="0"/>
          <c:showPercent val="0"/>
          <c:showBubbleSize val="0"/>
        </c:dLbls>
        <c:marker val="1"/>
        <c:smooth val="0"/>
        <c:axId val="430110024"/>
        <c:axId val="430110416"/>
      </c:lineChart>
      <c:catAx>
        <c:axId val="430110024"/>
        <c:scaling>
          <c:orientation val="minMax"/>
        </c:scaling>
        <c:delete val="0"/>
        <c:axPos val="b"/>
        <c:numFmt formatCode="General" sourceLinked="0"/>
        <c:majorTickMark val="none"/>
        <c:minorTickMark val="none"/>
        <c:tickLblPos val="nextTo"/>
        <c:crossAx val="430110416"/>
        <c:crosses val="autoZero"/>
        <c:auto val="1"/>
        <c:lblAlgn val="ctr"/>
        <c:lblOffset val="100"/>
        <c:noMultiLvlLbl val="0"/>
      </c:catAx>
      <c:valAx>
        <c:axId val="430110416"/>
        <c:scaling>
          <c:orientation val="minMax"/>
        </c:scaling>
        <c:delete val="0"/>
        <c:axPos val="l"/>
        <c:majorGridlines/>
        <c:numFmt formatCode="0.00%" sourceLinked="1"/>
        <c:majorTickMark val="none"/>
        <c:minorTickMark val="none"/>
        <c:tickLblPos val="nextTo"/>
        <c:spPr>
          <a:ln w="9525">
            <a:noFill/>
          </a:ln>
        </c:spPr>
        <c:crossAx val="430110024"/>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 of Revenue</a:t>
            </a:r>
            <a:r>
              <a:rPr lang="en-US" baseline="0"/>
              <a:t> from Services</a:t>
            </a:r>
            <a:endParaRPr lang="en-US"/>
          </a:p>
        </c:rich>
      </c:tx>
      <c:overlay val="0"/>
    </c:title>
    <c:autoTitleDeleted val="0"/>
    <c:plotArea>
      <c:layout/>
      <c:barChart>
        <c:barDir val="col"/>
        <c:grouping val="clustered"/>
        <c:varyColors val="0"/>
        <c:ser>
          <c:idx val="0"/>
          <c:order val="0"/>
          <c:tx>
            <c:strRef>
              <c:f>'SmartNumbers2024-2025'!$A$18</c:f>
              <c:strCache>
                <c:ptCount val="1"/>
                <c:pt idx="0">
                  <c:v>% of Revenue from Services</c:v>
                </c:pt>
              </c:strCache>
            </c:strRef>
          </c:tx>
          <c:invertIfNegative val="0"/>
          <c:cat>
            <c:strRef>
              <c:f>'SmartNumbers2024-2025'!$B$6:$I$6</c:f>
              <c:strCache>
                <c:ptCount val="8"/>
                <c:pt idx="0">
                  <c:v>Q1 2024</c:v>
                </c:pt>
                <c:pt idx="1">
                  <c:v>Q2 2024</c:v>
                </c:pt>
                <c:pt idx="2">
                  <c:v>Q3 2024</c:v>
                </c:pt>
                <c:pt idx="3">
                  <c:v>Q4 2024</c:v>
                </c:pt>
                <c:pt idx="4">
                  <c:v>Q1 2025</c:v>
                </c:pt>
                <c:pt idx="5">
                  <c:v>Q2 2025</c:v>
                </c:pt>
                <c:pt idx="6">
                  <c:v>Q3 2025</c:v>
                </c:pt>
                <c:pt idx="7">
                  <c:v>Q4 2025</c:v>
                </c:pt>
              </c:strCache>
            </c:strRef>
          </c:cat>
          <c:val>
            <c:numRef>
              <c:f>'SmartNumbers2024-2025'!$B$18:$I$18</c:f>
              <c:numCache>
                <c:formatCode>0.00%</c:formatCode>
                <c:ptCount val="8"/>
                <c:pt idx="0">
                  <c:v>0.70584687268155666</c:v>
                </c:pt>
                <c:pt idx="1">
                  <c:v>0.73561323995203909</c:v>
                </c:pt>
                <c:pt idx="2">
                  <c:v>0.77889381360639454</c:v>
                </c:pt>
                <c:pt idx="3">
                  <c:v>0.71216371961870495</c:v>
                </c:pt>
                <c:pt idx="4">
                  <c:v>0.70270940272826832</c:v>
                </c:pt>
                <c:pt idx="5">
                  <c:v>0.75389759108914334</c:v>
                </c:pt>
                <c:pt idx="6">
                  <c:v>0.70153245340116344</c:v>
                </c:pt>
                <c:pt idx="7">
                  <c:v>0.72100044854194023</c:v>
                </c:pt>
              </c:numCache>
            </c:numRef>
          </c:val>
          <c:extLst>
            <c:ext xmlns:c16="http://schemas.microsoft.com/office/drawing/2014/chart" uri="{C3380CC4-5D6E-409C-BE32-E72D297353CC}">
              <c16:uniqueId val="{00000000-D533-419C-A90B-53ACAEF46941}"/>
            </c:ext>
          </c:extLst>
        </c:ser>
        <c:dLbls>
          <c:showLegendKey val="0"/>
          <c:showVal val="0"/>
          <c:showCatName val="0"/>
          <c:showSerName val="0"/>
          <c:showPercent val="0"/>
          <c:showBubbleSize val="0"/>
        </c:dLbls>
        <c:gapWidth val="75"/>
        <c:overlap val="-25"/>
        <c:axId val="384538152"/>
        <c:axId val="384538544"/>
      </c:barChart>
      <c:lineChart>
        <c:grouping val="standard"/>
        <c:varyColors val="0"/>
        <c:ser>
          <c:idx val="1"/>
          <c:order val="1"/>
          <c:tx>
            <c:v>Low</c:v>
          </c:tx>
          <c:spPr>
            <a:ln>
              <a:solidFill>
                <a:srgbClr val="FF0000"/>
              </a:solidFill>
            </a:ln>
          </c:spPr>
          <c:marker>
            <c:symbol val="none"/>
          </c:marker>
          <c:val>
            <c:numRef>
              <c:f>Ranges!$C$6:$J$6</c:f>
              <c:numCache>
                <c:formatCode>0%</c:formatCode>
                <c:ptCount val="8"/>
                <c:pt idx="0">
                  <c:v>0.5</c:v>
                </c:pt>
                <c:pt idx="1">
                  <c:v>0.5</c:v>
                </c:pt>
                <c:pt idx="2">
                  <c:v>0.5</c:v>
                </c:pt>
                <c:pt idx="3">
                  <c:v>0.5</c:v>
                </c:pt>
                <c:pt idx="4">
                  <c:v>0.5</c:v>
                </c:pt>
                <c:pt idx="5">
                  <c:v>0.5</c:v>
                </c:pt>
                <c:pt idx="6">
                  <c:v>0.5</c:v>
                </c:pt>
                <c:pt idx="7">
                  <c:v>0.5</c:v>
                </c:pt>
              </c:numCache>
            </c:numRef>
          </c:val>
          <c:smooth val="0"/>
          <c:extLst>
            <c:ext xmlns:c16="http://schemas.microsoft.com/office/drawing/2014/chart" uri="{C3380CC4-5D6E-409C-BE32-E72D297353CC}">
              <c16:uniqueId val="{00000001-D533-419C-A90B-53ACAEF46941}"/>
            </c:ext>
          </c:extLst>
        </c:ser>
        <c:ser>
          <c:idx val="2"/>
          <c:order val="2"/>
          <c:tx>
            <c:v>Average</c:v>
          </c:tx>
          <c:spPr>
            <a:ln>
              <a:solidFill>
                <a:srgbClr val="FFFF00"/>
              </a:solidFill>
            </a:ln>
          </c:spPr>
          <c:marker>
            <c:symbol val="none"/>
          </c:marker>
          <c:val>
            <c:numRef>
              <c:f>Ranges!$C$7:$J$7</c:f>
              <c:numCache>
                <c:formatCode>0%</c:formatCode>
                <c:ptCount val="8"/>
                <c:pt idx="0">
                  <c:v>0.7</c:v>
                </c:pt>
                <c:pt idx="1">
                  <c:v>0.7</c:v>
                </c:pt>
                <c:pt idx="2">
                  <c:v>0.7</c:v>
                </c:pt>
                <c:pt idx="3">
                  <c:v>0.7</c:v>
                </c:pt>
                <c:pt idx="4">
                  <c:v>0.7</c:v>
                </c:pt>
                <c:pt idx="5">
                  <c:v>0.7</c:v>
                </c:pt>
                <c:pt idx="6">
                  <c:v>0.7</c:v>
                </c:pt>
                <c:pt idx="7">
                  <c:v>0.7</c:v>
                </c:pt>
              </c:numCache>
            </c:numRef>
          </c:val>
          <c:smooth val="0"/>
          <c:extLst>
            <c:ext xmlns:c16="http://schemas.microsoft.com/office/drawing/2014/chart" uri="{C3380CC4-5D6E-409C-BE32-E72D297353CC}">
              <c16:uniqueId val="{00000002-D533-419C-A90B-53ACAEF46941}"/>
            </c:ext>
          </c:extLst>
        </c:ser>
        <c:ser>
          <c:idx val="3"/>
          <c:order val="3"/>
          <c:tx>
            <c:v>High</c:v>
          </c:tx>
          <c:spPr>
            <a:ln>
              <a:solidFill>
                <a:srgbClr val="00B050"/>
              </a:solidFill>
            </a:ln>
          </c:spPr>
          <c:marker>
            <c:symbol val="none"/>
          </c:marker>
          <c:val>
            <c:numRef>
              <c:f>Ranges!$C$8:$J$8</c:f>
              <c:numCache>
                <c:formatCode>0%</c:formatCode>
                <c:ptCount val="8"/>
                <c:pt idx="0">
                  <c:v>0.8</c:v>
                </c:pt>
                <c:pt idx="1">
                  <c:v>0.8</c:v>
                </c:pt>
                <c:pt idx="2">
                  <c:v>0.8</c:v>
                </c:pt>
                <c:pt idx="3">
                  <c:v>0.8</c:v>
                </c:pt>
                <c:pt idx="4">
                  <c:v>0.8</c:v>
                </c:pt>
                <c:pt idx="5">
                  <c:v>0.8</c:v>
                </c:pt>
                <c:pt idx="6">
                  <c:v>0.8</c:v>
                </c:pt>
                <c:pt idx="7">
                  <c:v>0.8</c:v>
                </c:pt>
              </c:numCache>
            </c:numRef>
          </c:val>
          <c:smooth val="0"/>
          <c:extLst>
            <c:ext xmlns:c16="http://schemas.microsoft.com/office/drawing/2014/chart" uri="{C3380CC4-5D6E-409C-BE32-E72D297353CC}">
              <c16:uniqueId val="{00000003-D533-419C-A90B-53ACAEF46941}"/>
            </c:ext>
          </c:extLst>
        </c:ser>
        <c:dLbls>
          <c:showLegendKey val="0"/>
          <c:showVal val="0"/>
          <c:showCatName val="0"/>
          <c:showSerName val="0"/>
          <c:showPercent val="0"/>
          <c:showBubbleSize val="0"/>
        </c:dLbls>
        <c:marker val="1"/>
        <c:smooth val="0"/>
        <c:axId val="384538152"/>
        <c:axId val="384538544"/>
      </c:lineChart>
      <c:catAx>
        <c:axId val="384538152"/>
        <c:scaling>
          <c:orientation val="minMax"/>
        </c:scaling>
        <c:delete val="0"/>
        <c:axPos val="b"/>
        <c:numFmt formatCode="General" sourceLinked="0"/>
        <c:majorTickMark val="none"/>
        <c:minorTickMark val="none"/>
        <c:tickLblPos val="nextTo"/>
        <c:crossAx val="384538544"/>
        <c:crosses val="autoZero"/>
        <c:auto val="1"/>
        <c:lblAlgn val="ctr"/>
        <c:lblOffset val="100"/>
        <c:noMultiLvlLbl val="0"/>
      </c:catAx>
      <c:valAx>
        <c:axId val="384538544"/>
        <c:scaling>
          <c:orientation val="minMax"/>
        </c:scaling>
        <c:delete val="0"/>
        <c:axPos val="l"/>
        <c:majorGridlines>
          <c:spPr>
            <a:ln>
              <a:solidFill>
                <a:srgbClr val="00B050"/>
              </a:solidFill>
            </a:ln>
          </c:spPr>
        </c:majorGridlines>
        <c:numFmt formatCode="0.00%" sourceLinked="1"/>
        <c:majorTickMark val="none"/>
        <c:minorTickMark val="none"/>
        <c:tickLblPos val="nextTo"/>
        <c:spPr>
          <a:ln w="9525">
            <a:noFill/>
          </a:ln>
        </c:spPr>
        <c:crossAx val="384538152"/>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t>
            </a:r>
            <a:r>
              <a:rPr lang="en-US" baseline="0"/>
              <a:t> Services from MRR</a:t>
            </a:r>
            <a:endParaRPr lang="en-US"/>
          </a:p>
        </c:rich>
      </c:tx>
      <c:overlay val="0"/>
    </c:title>
    <c:autoTitleDeleted val="0"/>
    <c:plotArea>
      <c:layout/>
      <c:barChart>
        <c:barDir val="col"/>
        <c:grouping val="clustered"/>
        <c:varyColors val="0"/>
        <c:ser>
          <c:idx val="0"/>
          <c:order val="0"/>
          <c:tx>
            <c:strRef>
              <c:f>'SmartNumbers2024-2025'!$A$19</c:f>
              <c:strCache>
                <c:ptCount val="1"/>
                <c:pt idx="0">
                  <c:v>% of Services from MRR</c:v>
                </c:pt>
              </c:strCache>
            </c:strRef>
          </c:tx>
          <c:invertIfNegative val="0"/>
          <c:dLbls>
            <c:spPr>
              <a:noFill/>
              <a:ln>
                <a:noFill/>
              </a:ln>
              <a:effectLst/>
            </c:spPr>
            <c:txPr>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'SmartNumbers2024-2025'!$B$6:$I$6</c:f>
              <c:strCache>
                <c:ptCount val="8"/>
                <c:pt idx="0">
                  <c:v>Q1 2024</c:v>
                </c:pt>
                <c:pt idx="1">
                  <c:v>Q2 2024</c:v>
                </c:pt>
                <c:pt idx="2">
                  <c:v>Q3 2024</c:v>
                </c:pt>
                <c:pt idx="3">
                  <c:v>Q4 2024</c:v>
                </c:pt>
                <c:pt idx="4">
                  <c:v>Q1 2025</c:v>
                </c:pt>
                <c:pt idx="5">
                  <c:v>Q2 2025</c:v>
                </c:pt>
                <c:pt idx="6">
                  <c:v>Q3 2025</c:v>
                </c:pt>
                <c:pt idx="7">
                  <c:v>Q4 2025</c:v>
                </c:pt>
              </c:strCache>
            </c:strRef>
          </c:cat>
          <c:val>
            <c:numRef>
              <c:f>'SmartNumbers2024-2025'!$B$19:$I$19</c:f>
              <c:numCache>
                <c:formatCode>0.00%</c:formatCode>
                <c:ptCount val="8"/>
                <c:pt idx="0">
                  <c:v>0.91560606545065593</c:v>
                </c:pt>
                <c:pt idx="1">
                  <c:v>0.93989565713896384</c:v>
                </c:pt>
                <c:pt idx="2">
                  <c:v>0.95622693770152933</c:v>
                </c:pt>
                <c:pt idx="3">
                  <c:v>0.92346533995826519</c:v>
                </c:pt>
                <c:pt idx="4">
                  <c:v>0.91089069332991979</c:v>
                </c:pt>
                <c:pt idx="5">
                  <c:v>0.97344500723595173</c:v>
                </c:pt>
                <c:pt idx="6">
                  <c:v>0.92108386967533051</c:v>
                </c:pt>
                <c:pt idx="7">
                  <c:v>0.83704659521719804</c:v>
                </c:pt>
              </c:numCache>
            </c:numRef>
          </c:val>
          <c:extLst>
            <c:ext xmlns:c16="http://schemas.microsoft.com/office/drawing/2014/chart" uri="{C3380CC4-5D6E-409C-BE32-E72D297353CC}">
              <c16:uniqueId val="{00000000-7538-467C-B1BB-C122664E0982}"/>
            </c:ext>
          </c:extLst>
        </c:ser>
        <c:dLbls>
          <c:showLegendKey val="0"/>
          <c:showVal val="0"/>
          <c:showCatName val="0"/>
          <c:showSerName val="0"/>
          <c:showPercent val="0"/>
          <c:showBubbleSize val="0"/>
        </c:dLbls>
        <c:gapWidth val="75"/>
        <c:overlap val="-25"/>
        <c:axId val="384539328"/>
        <c:axId val="384539720"/>
      </c:barChart>
      <c:lineChart>
        <c:grouping val="standard"/>
        <c:varyColors val="0"/>
        <c:ser>
          <c:idx val="1"/>
          <c:order val="1"/>
          <c:tx>
            <c:v>Low</c:v>
          </c:tx>
          <c:spPr>
            <a:ln>
              <a:solidFill>
                <a:srgbClr val="FF0000"/>
              </a:solidFill>
            </a:ln>
          </c:spPr>
          <c:marker>
            <c:symbol val="none"/>
          </c:marker>
          <c:val>
            <c:numRef>
              <c:f>Ranges!$C$10:$I$10</c:f>
              <c:numCache>
                <c:formatCode>0%</c:formatCode>
                <c:ptCount val="7"/>
                <c:pt idx="0">
                  <c:v>0.55000000000000004</c:v>
                </c:pt>
                <c:pt idx="1">
                  <c:v>0.55000000000000004</c:v>
                </c:pt>
                <c:pt idx="2">
                  <c:v>0.55000000000000004</c:v>
                </c:pt>
                <c:pt idx="3">
                  <c:v>0.55000000000000004</c:v>
                </c:pt>
                <c:pt idx="4">
                  <c:v>0.55000000000000004</c:v>
                </c:pt>
                <c:pt idx="5">
                  <c:v>0.55000000000000004</c:v>
                </c:pt>
                <c:pt idx="6">
                  <c:v>0.55000000000000004</c:v>
                </c:pt>
              </c:numCache>
            </c:numRef>
          </c:val>
          <c:smooth val="0"/>
          <c:extLst>
            <c:ext xmlns:c16="http://schemas.microsoft.com/office/drawing/2014/chart" uri="{C3380CC4-5D6E-409C-BE32-E72D297353CC}">
              <c16:uniqueId val="{00000001-7538-467C-B1BB-C122664E0982}"/>
            </c:ext>
          </c:extLst>
        </c:ser>
        <c:ser>
          <c:idx val="2"/>
          <c:order val="2"/>
          <c:tx>
            <c:v>Average</c:v>
          </c:tx>
          <c:spPr>
            <a:ln>
              <a:solidFill>
                <a:srgbClr val="FFFF00"/>
              </a:solidFill>
            </a:ln>
          </c:spPr>
          <c:marker>
            <c:symbol val="none"/>
          </c:marker>
          <c:val>
            <c:numRef>
              <c:f>Ranges!$C$11:$I$11</c:f>
              <c:numCache>
                <c:formatCode>0%</c:formatCode>
                <c:ptCount val="7"/>
                <c:pt idx="0">
                  <c:v>0.7</c:v>
                </c:pt>
                <c:pt idx="1">
                  <c:v>0.7</c:v>
                </c:pt>
                <c:pt idx="2">
                  <c:v>0.7</c:v>
                </c:pt>
                <c:pt idx="3">
                  <c:v>0.7</c:v>
                </c:pt>
                <c:pt idx="4">
                  <c:v>0.7</c:v>
                </c:pt>
                <c:pt idx="5">
                  <c:v>0.7</c:v>
                </c:pt>
                <c:pt idx="6">
                  <c:v>0.7</c:v>
                </c:pt>
              </c:numCache>
            </c:numRef>
          </c:val>
          <c:smooth val="0"/>
          <c:extLst>
            <c:ext xmlns:c16="http://schemas.microsoft.com/office/drawing/2014/chart" uri="{C3380CC4-5D6E-409C-BE32-E72D297353CC}">
              <c16:uniqueId val="{00000002-7538-467C-B1BB-C122664E0982}"/>
            </c:ext>
          </c:extLst>
        </c:ser>
        <c:ser>
          <c:idx val="3"/>
          <c:order val="3"/>
          <c:tx>
            <c:v>high</c:v>
          </c:tx>
          <c:spPr>
            <a:ln>
              <a:solidFill>
                <a:srgbClr val="00B050"/>
              </a:solidFill>
            </a:ln>
          </c:spPr>
          <c:marker>
            <c:symbol val="none"/>
          </c:marker>
          <c:val>
            <c:numRef>
              <c:f>Ranges!$C$12:$I$12</c:f>
              <c:numCache>
                <c:formatCode>0%</c:formatCode>
                <c:ptCount val="7"/>
                <c:pt idx="0">
                  <c:v>0.8</c:v>
                </c:pt>
                <c:pt idx="1">
                  <c:v>0.8</c:v>
                </c:pt>
                <c:pt idx="2">
                  <c:v>0.8</c:v>
                </c:pt>
                <c:pt idx="3">
                  <c:v>0.8</c:v>
                </c:pt>
                <c:pt idx="4">
                  <c:v>0.8</c:v>
                </c:pt>
                <c:pt idx="5">
                  <c:v>0.8</c:v>
                </c:pt>
                <c:pt idx="6">
                  <c:v>0.8</c:v>
                </c:pt>
              </c:numCache>
            </c:numRef>
          </c:val>
          <c:smooth val="0"/>
          <c:extLst>
            <c:ext xmlns:c16="http://schemas.microsoft.com/office/drawing/2014/chart" uri="{C3380CC4-5D6E-409C-BE32-E72D297353CC}">
              <c16:uniqueId val="{00000003-7538-467C-B1BB-C122664E0982}"/>
            </c:ext>
          </c:extLst>
        </c:ser>
        <c:dLbls>
          <c:showLegendKey val="0"/>
          <c:showVal val="0"/>
          <c:showCatName val="0"/>
          <c:showSerName val="0"/>
          <c:showPercent val="0"/>
          <c:showBubbleSize val="0"/>
        </c:dLbls>
        <c:marker val="1"/>
        <c:smooth val="0"/>
        <c:axId val="384539328"/>
        <c:axId val="384539720"/>
      </c:lineChart>
      <c:catAx>
        <c:axId val="384539328"/>
        <c:scaling>
          <c:orientation val="minMax"/>
        </c:scaling>
        <c:delete val="0"/>
        <c:axPos val="b"/>
        <c:numFmt formatCode="General" sourceLinked="0"/>
        <c:majorTickMark val="none"/>
        <c:minorTickMark val="none"/>
        <c:tickLblPos val="nextTo"/>
        <c:crossAx val="384539720"/>
        <c:crosses val="autoZero"/>
        <c:auto val="1"/>
        <c:lblAlgn val="ctr"/>
        <c:lblOffset val="100"/>
        <c:noMultiLvlLbl val="0"/>
      </c:catAx>
      <c:valAx>
        <c:axId val="384539720"/>
        <c:scaling>
          <c:orientation val="minMax"/>
        </c:scaling>
        <c:delete val="0"/>
        <c:axPos val="l"/>
        <c:majorGridlines/>
        <c:numFmt formatCode="0.00%" sourceLinked="1"/>
        <c:majorTickMark val="none"/>
        <c:minorTickMark val="none"/>
        <c:tickLblPos val="nextTo"/>
        <c:spPr>
          <a:ln w="9525">
            <a:noFill/>
          </a:ln>
        </c:spPr>
        <c:crossAx val="384539328"/>
        <c:crosses val="autoZero"/>
        <c:crossBetween val="between"/>
      </c:valAx>
    </c:plotArea>
    <c:plotVisOnly val="1"/>
    <c:dispBlanksAs val="gap"/>
    <c:showDLblsOverMax val="0"/>
  </c:chart>
  <c:spPr>
    <a:ln>
      <a:solidFill>
        <a:srgbClr val="FF0000"/>
      </a:solidFill>
    </a:ln>
  </c:spPr>
  <c:printSettings>
    <c:headerFooter/>
    <c:pageMargins b="0.75000000000000056" l="0.70000000000000051" r="0.70000000000000051" t="0.75000000000000056" header="0.30000000000000027" footer="0.30000000000000027"/>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Reactive %</a:t>
            </a:r>
          </a:p>
        </c:rich>
      </c:tx>
      <c:overlay val="0"/>
    </c:title>
    <c:autoTitleDeleted val="0"/>
    <c:plotArea>
      <c:layout/>
      <c:barChart>
        <c:barDir val="col"/>
        <c:grouping val="clustered"/>
        <c:varyColors val="0"/>
        <c:ser>
          <c:idx val="2"/>
          <c:order val="0"/>
          <c:tx>
            <c:strRef>
              <c:f>'SmartNumbers2024-2025'!$A$13</c:f>
              <c:strCache>
                <c:ptCount val="1"/>
                <c:pt idx="0">
                  <c:v>Reactive Service %</c:v>
                </c:pt>
              </c:strCache>
            </c:strRef>
          </c:tx>
          <c:invertIfNegative val="0"/>
          <c:cat>
            <c:strRef>
              <c:f>'SmartNumbers2024-2025'!$B$6:$I$6</c:f>
              <c:strCache>
                <c:ptCount val="8"/>
                <c:pt idx="0">
                  <c:v>Q1 2024</c:v>
                </c:pt>
                <c:pt idx="1">
                  <c:v>Q2 2024</c:v>
                </c:pt>
                <c:pt idx="2">
                  <c:v>Q3 2024</c:v>
                </c:pt>
                <c:pt idx="3">
                  <c:v>Q4 2024</c:v>
                </c:pt>
                <c:pt idx="4">
                  <c:v>Q1 2025</c:v>
                </c:pt>
                <c:pt idx="5">
                  <c:v>Q2 2025</c:v>
                </c:pt>
                <c:pt idx="6">
                  <c:v>Q3 2025</c:v>
                </c:pt>
                <c:pt idx="7">
                  <c:v>Q4 2025</c:v>
                </c:pt>
              </c:strCache>
            </c:strRef>
          </c:cat>
          <c:val>
            <c:numRef>
              <c:f>'SmartNumbers2024-2025'!$B$13:$I$13</c:f>
              <c:numCache>
                <c:formatCode>0.00%</c:formatCode>
                <c:ptCount val="8"/>
                <c:pt idx="0">
                  <c:v>0</c:v>
                </c:pt>
                <c:pt idx="1">
                  <c:v>0</c:v>
                </c:pt>
                <c:pt idx="2">
                  <c:v>0</c:v>
                </c:pt>
                <c:pt idx="3">
                  <c:v>0</c:v>
                </c:pt>
                <c:pt idx="4">
                  <c:v>0.16410814734168025</c:v>
                </c:pt>
                <c:pt idx="5">
                  <c:v>0.14524405733986573</c:v>
                </c:pt>
                <c:pt idx="6">
                  <c:v>0</c:v>
                </c:pt>
                <c:pt idx="7">
                  <c:v>0</c:v>
                </c:pt>
              </c:numCache>
            </c:numRef>
          </c:val>
          <c:extLst>
            <c:ext xmlns:c16="http://schemas.microsoft.com/office/drawing/2014/chart" uri="{C3380CC4-5D6E-409C-BE32-E72D297353CC}">
              <c16:uniqueId val="{00000000-07E1-45AA-9FA4-42DB15FC0384}"/>
            </c:ext>
          </c:extLst>
        </c:ser>
        <c:dLbls>
          <c:showLegendKey val="0"/>
          <c:showVal val="0"/>
          <c:showCatName val="0"/>
          <c:showSerName val="0"/>
          <c:showPercent val="0"/>
          <c:showBubbleSize val="0"/>
        </c:dLbls>
        <c:gapWidth val="75"/>
        <c:overlap val="-25"/>
        <c:axId val="430085840"/>
        <c:axId val="384575408"/>
      </c:barChart>
      <c:catAx>
        <c:axId val="430085840"/>
        <c:scaling>
          <c:orientation val="minMax"/>
        </c:scaling>
        <c:delete val="0"/>
        <c:axPos val="b"/>
        <c:numFmt formatCode="General" sourceLinked="0"/>
        <c:majorTickMark val="none"/>
        <c:minorTickMark val="none"/>
        <c:tickLblPos val="nextTo"/>
        <c:crossAx val="384575408"/>
        <c:crosses val="autoZero"/>
        <c:auto val="1"/>
        <c:lblAlgn val="ctr"/>
        <c:lblOffset val="100"/>
        <c:noMultiLvlLbl val="0"/>
      </c:catAx>
      <c:valAx>
        <c:axId val="384575408"/>
        <c:scaling>
          <c:orientation val="minMax"/>
        </c:scaling>
        <c:delete val="0"/>
        <c:axPos val="l"/>
        <c:majorGridlines/>
        <c:numFmt formatCode="0.00%" sourceLinked="1"/>
        <c:majorTickMark val="none"/>
        <c:minorTickMark val="none"/>
        <c:tickLblPos val="nextTo"/>
        <c:spPr>
          <a:ln w="9525">
            <a:noFill/>
          </a:ln>
        </c:spPr>
        <c:crossAx val="430085840"/>
        <c:crosses val="autoZero"/>
        <c:crossBetween val="between"/>
      </c:valAx>
    </c:plotArea>
    <c:legend>
      <c:legendPos val="b"/>
      <c:overlay val="0"/>
    </c:legend>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Average AISP</a:t>
            </a:r>
          </a:p>
        </c:rich>
      </c:tx>
      <c:overlay val="0"/>
    </c:title>
    <c:autoTitleDeleted val="0"/>
    <c:plotArea>
      <c:layout/>
      <c:barChart>
        <c:barDir val="col"/>
        <c:grouping val="clustered"/>
        <c:varyColors val="0"/>
        <c:ser>
          <c:idx val="0"/>
          <c:order val="0"/>
          <c:tx>
            <c:strRef>
              <c:f>SmartNumbers2025!$A$24</c:f>
              <c:strCache>
                <c:ptCount val="1"/>
                <c:pt idx="0">
                  <c:v>Average AISP</c:v>
                </c:pt>
              </c:strCache>
            </c:strRef>
          </c:tx>
          <c:invertIfNegative val="0"/>
          <c:cat>
            <c:strRef>
              <c:f>'SmartNumbers2024-2025'!$B$6:$I$6</c:f>
              <c:strCache>
                <c:ptCount val="8"/>
                <c:pt idx="0">
                  <c:v>Q1 2024</c:v>
                </c:pt>
                <c:pt idx="1">
                  <c:v>Q2 2024</c:v>
                </c:pt>
                <c:pt idx="2">
                  <c:v>Q3 2024</c:v>
                </c:pt>
                <c:pt idx="3">
                  <c:v>Q4 2024</c:v>
                </c:pt>
                <c:pt idx="4">
                  <c:v>Q1 2025</c:v>
                </c:pt>
                <c:pt idx="5">
                  <c:v>Q2 2025</c:v>
                </c:pt>
                <c:pt idx="6">
                  <c:v>Q3 2025</c:v>
                </c:pt>
                <c:pt idx="7">
                  <c:v>Q4 2025</c:v>
                </c:pt>
              </c:strCache>
            </c:strRef>
          </c:cat>
          <c:val>
            <c:numRef>
              <c:f>'SmartNumbers2024-2025'!$B$24:$I$24</c:f>
              <c:numCache>
                <c:formatCode>"$"#,##0</c:formatCode>
                <c:ptCount val="8"/>
                <c:pt idx="0">
                  <c:v>200.9695530726257</c:v>
                </c:pt>
                <c:pt idx="1">
                  <c:v>201.98651856763925</c:v>
                </c:pt>
                <c:pt idx="2">
                  <c:v>201.9960677083333</c:v>
                </c:pt>
                <c:pt idx="3">
                  <c:v>198.96119254658387</c:v>
                </c:pt>
                <c:pt idx="4">
                  <c:v>202.30506437768244</c:v>
                </c:pt>
                <c:pt idx="5">
                  <c:v>201.6628588235294</c:v>
                </c:pt>
                <c:pt idx="6">
                  <c:v>209.02022321428572</c:v>
                </c:pt>
                <c:pt idx="7">
                  <c:v>0</c:v>
                </c:pt>
              </c:numCache>
            </c:numRef>
          </c:val>
          <c:extLst>
            <c:ext xmlns:c16="http://schemas.microsoft.com/office/drawing/2014/chart" uri="{C3380CC4-5D6E-409C-BE32-E72D297353CC}">
              <c16:uniqueId val="{00000000-8D8E-4712-B7ED-57F79E11CB35}"/>
            </c:ext>
          </c:extLst>
        </c:ser>
        <c:dLbls>
          <c:showLegendKey val="0"/>
          <c:showVal val="0"/>
          <c:showCatName val="0"/>
          <c:showSerName val="0"/>
          <c:showPercent val="0"/>
          <c:showBubbleSize val="0"/>
        </c:dLbls>
        <c:gapWidth val="75"/>
        <c:overlap val="-25"/>
        <c:axId val="384576192"/>
        <c:axId val="384576584"/>
      </c:barChart>
      <c:lineChart>
        <c:grouping val="standard"/>
        <c:varyColors val="0"/>
        <c:ser>
          <c:idx val="1"/>
          <c:order val="1"/>
          <c:tx>
            <c:v>high</c:v>
          </c:tx>
          <c:spPr>
            <a:ln>
              <a:solidFill>
                <a:srgbClr val="00B050"/>
              </a:solidFill>
            </a:ln>
          </c:spPr>
          <c:marker>
            <c:symbol val="none"/>
          </c:marker>
          <c:val>
            <c:numRef>
              <c:f>Ranges!$C$24:$I$24</c:f>
              <c:numCache>
                <c:formatCode>"$"#,##0.00</c:formatCode>
                <c:ptCount val="7"/>
                <c:pt idx="0">
                  <c:v>135</c:v>
                </c:pt>
                <c:pt idx="1">
                  <c:v>135</c:v>
                </c:pt>
                <c:pt idx="2">
                  <c:v>135</c:v>
                </c:pt>
                <c:pt idx="3">
                  <c:v>135</c:v>
                </c:pt>
                <c:pt idx="4">
                  <c:v>135</c:v>
                </c:pt>
                <c:pt idx="5">
                  <c:v>135</c:v>
                </c:pt>
                <c:pt idx="6">
                  <c:v>135</c:v>
                </c:pt>
              </c:numCache>
            </c:numRef>
          </c:val>
          <c:smooth val="0"/>
          <c:extLst>
            <c:ext xmlns:c16="http://schemas.microsoft.com/office/drawing/2014/chart" uri="{C3380CC4-5D6E-409C-BE32-E72D297353CC}">
              <c16:uniqueId val="{00000001-8D8E-4712-B7ED-57F79E11CB35}"/>
            </c:ext>
          </c:extLst>
        </c:ser>
        <c:ser>
          <c:idx val="2"/>
          <c:order val="2"/>
          <c:tx>
            <c:v>Average</c:v>
          </c:tx>
          <c:spPr>
            <a:ln>
              <a:solidFill>
                <a:srgbClr val="FFFF00"/>
              </a:solidFill>
            </a:ln>
          </c:spPr>
          <c:marker>
            <c:symbol val="none"/>
          </c:marker>
          <c:val>
            <c:numRef>
              <c:f>Ranges!$C$23:$I$23</c:f>
              <c:numCache>
                <c:formatCode>"$"#,##0.00</c:formatCode>
                <c:ptCount val="7"/>
                <c:pt idx="0">
                  <c:v>120</c:v>
                </c:pt>
                <c:pt idx="1">
                  <c:v>120</c:v>
                </c:pt>
                <c:pt idx="2">
                  <c:v>120</c:v>
                </c:pt>
                <c:pt idx="3">
                  <c:v>120</c:v>
                </c:pt>
                <c:pt idx="4">
                  <c:v>120</c:v>
                </c:pt>
                <c:pt idx="5">
                  <c:v>120</c:v>
                </c:pt>
                <c:pt idx="6">
                  <c:v>120</c:v>
                </c:pt>
              </c:numCache>
            </c:numRef>
          </c:val>
          <c:smooth val="0"/>
          <c:extLst>
            <c:ext xmlns:c16="http://schemas.microsoft.com/office/drawing/2014/chart" uri="{C3380CC4-5D6E-409C-BE32-E72D297353CC}">
              <c16:uniqueId val="{00000002-8D8E-4712-B7ED-57F79E11CB35}"/>
            </c:ext>
          </c:extLst>
        </c:ser>
        <c:ser>
          <c:idx val="3"/>
          <c:order val="3"/>
          <c:tx>
            <c:v>Low</c:v>
          </c:tx>
          <c:spPr>
            <a:ln>
              <a:solidFill>
                <a:srgbClr val="FF0000"/>
              </a:solidFill>
            </a:ln>
          </c:spPr>
          <c:marker>
            <c:symbol val="none"/>
          </c:marker>
          <c:val>
            <c:numRef>
              <c:f>Ranges!$C$22:$I$22</c:f>
              <c:numCache>
                <c:formatCode>"$"#,##0.00</c:formatCode>
                <c:ptCount val="7"/>
                <c:pt idx="0">
                  <c:v>100</c:v>
                </c:pt>
                <c:pt idx="1">
                  <c:v>100</c:v>
                </c:pt>
                <c:pt idx="2">
                  <c:v>100</c:v>
                </c:pt>
                <c:pt idx="3">
                  <c:v>100</c:v>
                </c:pt>
                <c:pt idx="4">
                  <c:v>100</c:v>
                </c:pt>
                <c:pt idx="5">
                  <c:v>100</c:v>
                </c:pt>
                <c:pt idx="6">
                  <c:v>100</c:v>
                </c:pt>
              </c:numCache>
            </c:numRef>
          </c:val>
          <c:smooth val="0"/>
          <c:extLst>
            <c:ext xmlns:c16="http://schemas.microsoft.com/office/drawing/2014/chart" uri="{C3380CC4-5D6E-409C-BE32-E72D297353CC}">
              <c16:uniqueId val="{00000003-8D8E-4712-B7ED-57F79E11CB35}"/>
            </c:ext>
          </c:extLst>
        </c:ser>
        <c:ser>
          <c:idx val="4"/>
          <c:order val="4"/>
          <c:marker>
            <c:symbol val="none"/>
          </c:marker>
          <c:val>
            <c:numLit>
              <c:formatCode>General</c:formatCode>
              <c:ptCount val="1"/>
              <c:pt idx="0">
                <c:v>1</c:v>
              </c:pt>
            </c:numLit>
          </c:val>
          <c:smooth val="0"/>
          <c:extLst>
            <c:ext xmlns:c16="http://schemas.microsoft.com/office/drawing/2014/chart" uri="{C3380CC4-5D6E-409C-BE32-E72D297353CC}">
              <c16:uniqueId val="{00000004-8D8E-4712-B7ED-57F79E11CB35}"/>
            </c:ext>
          </c:extLst>
        </c:ser>
        <c:dLbls>
          <c:showLegendKey val="0"/>
          <c:showVal val="0"/>
          <c:showCatName val="0"/>
          <c:showSerName val="0"/>
          <c:showPercent val="0"/>
          <c:showBubbleSize val="0"/>
        </c:dLbls>
        <c:marker val="1"/>
        <c:smooth val="0"/>
        <c:axId val="384576192"/>
        <c:axId val="384576584"/>
      </c:lineChart>
      <c:catAx>
        <c:axId val="384576192"/>
        <c:scaling>
          <c:orientation val="minMax"/>
        </c:scaling>
        <c:delete val="0"/>
        <c:axPos val="b"/>
        <c:numFmt formatCode="General" sourceLinked="0"/>
        <c:majorTickMark val="none"/>
        <c:minorTickMark val="none"/>
        <c:tickLblPos val="nextTo"/>
        <c:crossAx val="384576584"/>
        <c:crosses val="autoZero"/>
        <c:auto val="1"/>
        <c:lblAlgn val="ctr"/>
        <c:lblOffset val="100"/>
        <c:noMultiLvlLbl val="0"/>
      </c:catAx>
      <c:valAx>
        <c:axId val="384576584"/>
        <c:scaling>
          <c:orientation val="minMax"/>
        </c:scaling>
        <c:delete val="0"/>
        <c:axPos val="l"/>
        <c:majorGridlines/>
        <c:numFmt formatCode="&quot;$&quot;#,##0" sourceLinked="1"/>
        <c:majorTickMark val="none"/>
        <c:minorTickMark val="none"/>
        <c:tickLblPos val="nextTo"/>
        <c:spPr>
          <a:ln w="9525">
            <a:noFill/>
          </a:ln>
        </c:spPr>
        <c:crossAx val="384576192"/>
        <c:crosses val="autoZero"/>
        <c:crossBetween val="between"/>
      </c:valAx>
    </c:plotArea>
    <c:plotVisOnly val="1"/>
    <c:dispBlanksAs val="zero"/>
    <c:showDLblsOverMax val="0"/>
  </c:chart>
  <c:printSettings>
    <c:headerFooter/>
    <c:pageMargins b="0.75000000000000056" l="0.70000000000000051" r="0.70000000000000051" t="0.75000000000000056" header="0.30000000000000027" footer="0.30000000000000027"/>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Average MRR</a:t>
            </a:r>
          </a:p>
        </c:rich>
      </c:tx>
      <c:overlay val="0"/>
    </c:title>
    <c:autoTitleDeleted val="0"/>
    <c:plotArea>
      <c:layout/>
      <c:barChart>
        <c:barDir val="col"/>
        <c:grouping val="clustered"/>
        <c:varyColors val="0"/>
        <c:ser>
          <c:idx val="0"/>
          <c:order val="0"/>
          <c:tx>
            <c:strRef>
              <c:f>'SmartNumbers2024-2025'!$A$25</c:f>
              <c:strCache>
                <c:ptCount val="1"/>
                <c:pt idx="0">
                  <c:v>Average MRR</c:v>
                </c:pt>
              </c:strCache>
            </c:strRef>
          </c:tx>
          <c:invertIfNegative val="0"/>
          <c:cat>
            <c:strRef>
              <c:f>'SmartNumbers2024-2025'!$B$6:$I$6</c:f>
              <c:strCache>
                <c:ptCount val="8"/>
                <c:pt idx="0">
                  <c:v>Q1 2024</c:v>
                </c:pt>
                <c:pt idx="1">
                  <c:v>Q2 2024</c:v>
                </c:pt>
                <c:pt idx="2">
                  <c:v>Q3 2024</c:v>
                </c:pt>
                <c:pt idx="3">
                  <c:v>Q4 2024</c:v>
                </c:pt>
                <c:pt idx="4">
                  <c:v>Q1 2025</c:v>
                </c:pt>
                <c:pt idx="5">
                  <c:v>Q2 2025</c:v>
                </c:pt>
                <c:pt idx="6">
                  <c:v>Q3 2025</c:v>
                </c:pt>
                <c:pt idx="7">
                  <c:v>Q4 2025</c:v>
                </c:pt>
              </c:strCache>
            </c:strRef>
          </c:cat>
          <c:val>
            <c:numRef>
              <c:f>'SmartNumbers2024-2025'!$B$25:$I$25</c:f>
              <c:numCache>
                <c:formatCode>"$"#,##0</c:formatCode>
                <c:ptCount val="8"/>
                <c:pt idx="0">
                  <c:v>2794.0621359223301</c:v>
                </c:pt>
                <c:pt idx="1">
                  <c:v>2928.8045192307695</c:v>
                </c:pt>
                <c:pt idx="2">
                  <c:v>2954.9139047619046</c:v>
                </c:pt>
                <c:pt idx="3">
                  <c:v>3050.7382857142857</c:v>
                </c:pt>
                <c:pt idx="4">
                  <c:v>3027.1519266055043</c:v>
                </c:pt>
                <c:pt idx="5">
                  <c:v>3033.8660176991148</c:v>
                </c:pt>
                <c:pt idx="6">
                  <c:v>2900.3868141592925</c:v>
                </c:pt>
                <c:pt idx="7">
                  <c:v>0</c:v>
                </c:pt>
              </c:numCache>
            </c:numRef>
          </c:val>
          <c:extLst>
            <c:ext xmlns:c16="http://schemas.microsoft.com/office/drawing/2014/chart" uri="{C3380CC4-5D6E-409C-BE32-E72D297353CC}">
              <c16:uniqueId val="{00000000-6A62-4BF5-BEB4-5840E1543516}"/>
            </c:ext>
          </c:extLst>
        </c:ser>
        <c:dLbls>
          <c:showLegendKey val="0"/>
          <c:showVal val="0"/>
          <c:showCatName val="0"/>
          <c:showSerName val="0"/>
          <c:showPercent val="0"/>
          <c:showBubbleSize val="0"/>
        </c:dLbls>
        <c:gapWidth val="75"/>
        <c:overlap val="-25"/>
        <c:axId val="430065360"/>
        <c:axId val="430064968"/>
      </c:barChart>
      <c:lineChart>
        <c:grouping val="standard"/>
        <c:varyColors val="0"/>
        <c:ser>
          <c:idx val="1"/>
          <c:order val="1"/>
          <c:tx>
            <c:v>Low</c:v>
          </c:tx>
          <c:spPr>
            <a:ln>
              <a:solidFill>
                <a:srgbClr val="FF0000"/>
              </a:solidFill>
            </a:ln>
          </c:spPr>
          <c:marker>
            <c:symbol val="none"/>
          </c:marker>
          <c:val>
            <c:numRef>
              <c:f>Ranges!$C$26:$I$26</c:f>
              <c:numCache>
                <c:formatCode>"$"#,##0.00</c:formatCode>
                <c:ptCount val="7"/>
                <c:pt idx="0">
                  <c:v>1800</c:v>
                </c:pt>
                <c:pt idx="1">
                  <c:v>1800</c:v>
                </c:pt>
                <c:pt idx="2">
                  <c:v>1800</c:v>
                </c:pt>
                <c:pt idx="3">
                  <c:v>1800</c:v>
                </c:pt>
                <c:pt idx="4">
                  <c:v>1800</c:v>
                </c:pt>
                <c:pt idx="5">
                  <c:v>1800</c:v>
                </c:pt>
                <c:pt idx="6">
                  <c:v>1800</c:v>
                </c:pt>
              </c:numCache>
            </c:numRef>
          </c:val>
          <c:smooth val="0"/>
          <c:extLst>
            <c:ext xmlns:c16="http://schemas.microsoft.com/office/drawing/2014/chart" uri="{C3380CC4-5D6E-409C-BE32-E72D297353CC}">
              <c16:uniqueId val="{00000001-6A62-4BF5-BEB4-5840E1543516}"/>
            </c:ext>
          </c:extLst>
        </c:ser>
        <c:ser>
          <c:idx val="2"/>
          <c:order val="2"/>
          <c:tx>
            <c:v>High</c:v>
          </c:tx>
          <c:spPr>
            <a:ln>
              <a:solidFill>
                <a:srgbClr val="00B050"/>
              </a:solidFill>
            </a:ln>
          </c:spPr>
          <c:marker>
            <c:symbol val="none"/>
          </c:marker>
          <c:val>
            <c:numRef>
              <c:f>Ranges!$C$28:$I$28</c:f>
              <c:numCache>
                <c:formatCode>"$"#,##0.00</c:formatCode>
                <c:ptCount val="7"/>
                <c:pt idx="0">
                  <c:v>3000</c:v>
                </c:pt>
                <c:pt idx="1">
                  <c:v>3000</c:v>
                </c:pt>
                <c:pt idx="2">
                  <c:v>3000</c:v>
                </c:pt>
                <c:pt idx="3">
                  <c:v>3000</c:v>
                </c:pt>
                <c:pt idx="4">
                  <c:v>3000</c:v>
                </c:pt>
                <c:pt idx="5">
                  <c:v>3000</c:v>
                </c:pt>
                <c:pt idx="6">
                  <c:v>3000</c:v>
                </c:pt>
              </c:numCache>
            </c:numRef>
          </c:val>
          <c:smooth val="0"/>
          <c:extLst>
            <c:ext xmlns:c16="http://schemas.microsoft.com/office/drawing/2014/chart" uri="{C3380CC4-5D6E-409C-BE32-E72D297353CC}">
              <c16:uniqueId val="{00000002-6A62-4BF5-BEB4-5840E1543516}"/>
            </c:ext>
          </c:extLst>
        </c:ser>
        <c:ser>
          <c:idx val="3"/>
          <c:order val="3"/>
          <c:tx>
            <c:v>average</c:v>
          </c:tx>
          <c:spPr>
            <a:ln>
              <a:solidFill>
                <a:srgbClr val="FFFF00"/>
              </a:solidFill>
            </a:ln>
          </c:spPr>
          <c:marker>
            <c:symbol val="none"/>
          </c:marker>
          <c:val>
            <c:numRef>
              <c:f>Ranges!$C$27:$I$27</c:f>
              <c:numCache>
                <c:formatCode>"$"#,##0.00</c:formatCode>
                <c:ptCount val="7"/>
                <c:pt idx="0">
                  <c:v>2500</c:v>
                </c:pt>
                <c:pt idx="1">
                  <c:v>2500</c:v>
                </c:pt>
                <c:pt idx="2">
                  <c:v>2500</c:v>
                </c:pt>
                <c:pt idx="3">
                  <c:v>2500</c:v>
                </c:pt>
                <c:pt idx="4">
                  <c:v>2500</c:v>
                </c:pt>
                <c:pt idx="5">
                  <c:v>2500</c:v>
                </c:pt>
                <c:pt idx="6">
                  <c:v>2500</c:v>
                </c:pt>
              </c:numCache>
            </c:numRef>
          </c:val>
          <c:smooth val="0"/>
          <c:extLst>
            <c:ext xmlns:c16="http://schemas.microsoft.com/office/drawing/2014/chart" uri="{C3380CC4-5D6E-409C-BE32-E72D297353CC}">
              <c16:uniqueId val="{00000003-6A62-4BF5-BEB4-5840E1543516}"/>
            </c:ext>
          </c:extLst>
        </c:ser>
        <c:dLbls>
          <c:showLegendKey val="0"/>
          <c:showVal val="0"/>
          <c:showCatName val="0"/>
          <c:showSerName val="0"/>
          <c:showPercent val="0"/>
          <c:showBubbleSize val="0"/>
        </c:dLbls>
        <c:marker val="1"/>
        <c:smooth val="0"/>
        <c:axId val="430065360"/>
        <c:axId val="430064968"/>
      </c:lineChart>
      <c:catAx>
        <c:axId val="430065360"/>
        <c:scaling>
          <c:orientation val="minMax"/>
        </c:scaling>
        <c:delete val="0"/>
        <c:axPos val="b"/>
        <c:numFmt formatCode="General" sourceLinked="0"/>
        <c:majorTickMark val="none"/>
        <c:minorTickMark val="none"/>
        <c:tickLblPos val="nextTo"/>
        <c:crossAx val="430064968"/>
        <c:crosses val="autoZero"/>
        <c:auto val="1"/>
        <c:lblAlgn val="ctr"/>
        <c:lblOffset val="100"/>
        <c:noMultiLvlLbl val="0"/>
      </c:catAx>
      <c:valAx>
        <c:axId val="430064968"/>
        <c:scaling>
          <c:orientation val="minMax"/>
        </c:scaling>
        <c:delete val="0"/>
        <c:axPos val="l"/>
        <c:majorGridlines/>
        <c:numFmt formatCode="&quot;$&quot;#,##0" sourceLinked="1"/>
        <c:majorTickMark val="none"/>
        <c:minorTickMark val="none"/>
        <c:tickLblPos val="nextTo"/>
        <c:spPr>
          <a:ln w="9525">
            <a:noFill/>
          </a:ln>
        </c:spPr>
        <c:crossAx val="430065360"/>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 of Dials</a:t>
            </a:r>
            <a:r>
              <a:rPr lang="en-US" baseline="0"/>
              <a:t> / Appointment</a:t>
            </a:r>
            <a:endParaRPr lang="en-US"/>
          </a:p>
        </c:rich>
      </c:tx>
      <c:overlay val="0"/>
    </c:title>
    <c:autoTitleDeleted val="0"/>
    <c:plotArea>
      <c:layout/>
      <c:barChart>
        <c:barDir val="col"/>
        <c:grouping val="clustered"/>
        <c:varyColors val="0"/>
        <c:ser>
          <c:idx val="0"/>
          <c:order val="0"/>
          <c:tx>
            <c:strRef>
              <c:f>'SmartNumbers2024-2025'!$A$31</c:f>
              <c:strCache>
                <c:ptCount val="1"/>
                <c:pt idx="0">
                  <c:v># of dials / appointment</c:v>
                </c:pt>
              </c:strCache>
            </c:strRef>
          </c:tx>
          <c:invertIfNegative val="0"/>
          <c:cat>
            <c:strRef>
              <c:f>'SmartNumbers2024-2025'!$B$6:$I$6</c:f>
              <c:strCache>
                <c:ptCount val="8"/>
                <c:pt idx="0">
                  <c:v>Q1 2024</c:v>
                </c:pt>
                <c:pt idx="1">
                  <c:v>Q2 2024</c:v>
                </c:pt>
                <c:pt idx="2">
                  <c:v>Q3 2024</c:v>
                </c:pt>
                <c:pt idx="3">
                  <c:v>Q4 2024</c:v>
                </c:pt>
                <c:pt idx="4">
                  <c:v>Q1 2025</c:v>
                </c:pt>
                <c:pt idx="5">
                  <c:v>Q2 2025</c:v>
                </c:pt>
                <c:pt idx="6">
                  <c:v>Q3 2025</c:v>
                </c:pt>
                <c:pt idx="7">
                  <c:v>Q4 2025</c:v>
                </c:pt>
              </c:strCache>
            </c:strRef>
          </c:cat>
          <c:val>
            <c:numRef>
              <c:f>'SmartNumbers2024-2025'!$B$31:$I$31</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C087-4264-BA34-35284718720D}"/>
            </c:ext>
          </c:extLst>
        </c:ser>
        <c:dLbls>
          <c:showLegendKey val="0"/>
          <c:showVal val="0"/>
          <c:showCatName val="0"/>
          <c:showSerName val="0"/>
          <c:showPercent val="0"/>
          <c:showBubbleSize val="0"/>
        </c:dLbls>
        <c:gapWidth val="75"/>
        <c:overlap val="-25"/>
        <c:axId val="430749752"/>
        <c:axId val="430750144"/>
      </c:barChart>
      <c:lineChart>
        <c:grouping val="standard"/>
        <c:varyColors val="0"/>
        <c:ser>
          <c:idx val="1"/>
          <c:order val="1"/>
          <c:tx>
            <c:v>Low</c:v>
          </c:tx>
          <c:spPr>
            <a:ln>
              <a:solidFill>
                <a:srgbClr val="FF0000"/>
              </a:solidFill>
            </a:ln>
          </c:spPr>
          <c:marker>
            <c:symbol val="none"/>
          </c:marker>
          <c:val>
            <c:numRef>
              <c:f>Ranges!$C$30:$I$30</c:f>
              <c:numCache>
                <c:formatCode>General</c:formatCode>
                <c:ptCount val="7"/>
                <c:pt idx="0">
                  <c:v>70</c:v>
                </c:pt>
                <c:pt idx="1">
                  <c:v>70</c:v>
                </c:pt>
                <c:pt idx="2">
                  <c:v>70</c:v>
                </c:pt>
                <c:pt idx="3">
                  <c:v>70</c:v>
                </c:pt>
                <c:pt idx="4">
                  <c:v>70</c:v>
                </c:pt>
                <c:pt idx="5">
                  <c:v>70</c:v>
                </c:pt>
                <c:pt idx="6">
                  <c:v>70</c:v>
                </c:pt>
              </c:numCache>
            </c:numRef>
          </c:val>
          <c:smooth val="0"/>
          <c:extLst>
            <c:ext xmlns:c16="http://schemas.microsoft.com/office/drawing/2014/chart" uri="{C3380CC4-5D6E-409C-BE32-E72D297353CC}">
              <c16:uniqueId val="{00000001-C087-4264-BA34-35284718720D}"/>
            </c:ext>
          </c:extLst>
        </c:ser>
        <c:ser>
          <c:idx val="2"/>
          <c:order val="2"/>
          <c:tx>
            <c:v>Average</c:v>
          </c:tx>
          <c:spPr>
            <a:ln>
              <a:solidFill>
                <a:srgbClr val="FFFF00"/>
              </a:solidFill>
            </a:ln>
          </c:spPr>
          <c:marker>
            <c:symbol val="none"/>
          </c:marker>
          <c:val>
            <c:numRef>
              <c:f>Ranges!$C$31:$I$31</c:f>
              <c:numCache>
                <c:formatCode>General</c:formatCode>
                <c:ptCount val="7"/>
                <c:pt idx="0">
                  <c:v>87</c:v>
                </c:pt>
                <c:pt idx="1">
                  <c:v>87</c:v>
                </c:pt>
                <c:pt idx="2">
                  <c:v>87</c:v>
                </c:pt>
                <c:pt idx="3">
                  <c:v>87</c:v>
                </c:pt>
                <c:pt idx="4">
                  <c:v>87</c:v>
                </c:pt>
                <c:pt idx="5">
                  <c:v>87</c:v>
                </c:pt>
                <c:pt idx="6">
                  <c:v>87</c:v>
                </c:pt>
              </c:numCache>
            </c:numRef>
          </c:val>
          <c:smooth val="0"/>
          <c:extLst>
            <c:ext xmlns:c16="http://schemas.microsoft.com/office/drawing/2014/chart" uri="{C3380CC4-5D6E-409C-BE32-E72D297353CC}">
              <c16:uniqueId val="{00000002-C087-4264-BA34-35284718720D}"/>
            </c:ext>
          </c:extLst>
        </c:ser>
        <c:ser>
          <c:idx val="3"/>
          <c:order val="3"/>
          <c:tx>
            <c:v>high</c:v>
          </c:tx>
          <c:spPr>
            <a:ln>
              <a:solidFill>
                <a:srgbClr val="92D050"/>
              </a:solidFill>
            </a:ln>
          </c:spPr>
          <c:marker>
            <c:symbol val="none"/>
          </c:marker>
          <c:val>
            <c:numRef>
              <c:f>Ranges!$C$32:$I$32</c:f>
              <c:numCache>
                <c:formatCode>General</c:formatCode>
                <c:ptCount val="7"/>
                <c:pt idx="0">
                  <c:v>115</c:v>
                </c:pt>
                <c:pt idx="1">
                  <c:v>115</c:v>
                </c:pt>
                <c:pt idx="2">
                  <c:v>115</c:v>
                </c:pt>
                <c:pt idx="3">
                  <c:v>115</c:v>
                </c:pt>
                <c:pt idx="4">
                  <c:v>115</c:v>
                </c:pt>
                <c:pt idx="5">
                  <c:v>115</c:v>
                </c:pt>
                <c:pt idx="6">
                  <c:v>115</c:v>
                </c:pt>
              </c:numCache>
            </c:numRef>
          </c:val>
          <c:smooth val="0"/>
          <c:extLst>
            <c:ext xmlns:c16="http://schemas.microsoft.com/office/drawing/2014/chart" uri="{C3380CC4-5D6E-409C-BE32-E72D297353CC}">
              <c16:uniqueId val="{00000003-C087-4264-BA34-35284718720D}"/>
            </c:ext>
          </c:extLst>
        </c:ser>
        <c:dLbls>
          <c:showLegendKey val="0"/>
          <c:showVal val="0"/>
          <c:showCatName val="0"/>
          <c:showSerName val="0"/>
          <c:showPercent val="0"/>
          <c:showBubbleSize val="0"/>
        </c:dLbls>
        <c:marker val="1"/>
        <c:smooth val="0"/>
        <c:axId val="430749752"/>
        <c:axId val="430750144"/>
      </c:lineChart>
      <c:catAx>
        <c:axId val="430749752"/>
        <c:scaling>
          <c:orientation val="minMax"/>
        </c:scaling>
        <c:delete val="0"/>
        <c:axPos val="b"/>
        <c:numFmt formatCode="General" sourceLinked="0"/>
        <c:majorTickMark val="none"/>
        <c:minorTickMark val="none"/>
        <c:tickLblPos val="nextTo"/>
        <c:crossAx val="430750144"/>
        <c:crosses val="autoZero"/>
        <c:auto val="1"/>
        <c:lblAlgn val="ctr"/>
        <c:lblOffset val="100"/>
        <c:noMultiLvlLbl val="0"/>
      </c:catAx>
      <c:valAx>
        <c:axId val="430750144"/>
        <c:scaling>
          <c:orientation val="minMax"/>
        </c:scaling>
        <c:delete val="0"/>
        <c:axPos val="l"/>
        <c:majorGridlines/>
        <c:numFmt formatCode="0" sourceLinked="1"/>
        <c:majorTickMark val="none"/>
        <c:minorTickMark val="none"/>
        <c:tickLblPos val="nextTo"/>
        <c:spPr>
          <a:ln w="9525">
            <a:noFill/>
          </a:ln>
        </c:spPr>
        <c:crossAx val="430749752"/>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manualLayout>
          <c:layoutTarget val="inner"/>
          <c:xMode val="edge"/>
          <c:yMode val="edge"/>
          <c:x val="7.7868414983691889E-2"/>
          <c:y val="0.19480351414406533"/>
          <c:w val="0.89702698250584789"/>
          <c:h val="0.68921660834062404"/>
        </c:manualLayout>
      </c:layout>
      <c:barChart>
        <c:barDir val="col"/>
        <c:grouping val="clustered"/>
        <c:varyColors val="0"/>
        <c:ser>
          <c:idx val="0"/>
          <c:order val="0"/>
          <c:tx>
            <c:strRef>
              <c:f>'SmartNumbers2024-2025'!$A$32</c:f>
              <c:strCache>
                <c:ptCount val="1"/>
                <c:pt idx="0">
                  <c:v># of first appointments</c:v>
                </c:pt>
              </c:strCache>
            </c:strRef>
          </c:tx>
          <c:invertIfNegative val="0"/>
          <c:cat>
            <c:strRef>
              <c:f>'SmartNumbers2024-2025'!$B$6:$I$6</c:f>
              <c:strCache>
                <c:ptCount val="8"/>
                <c:pt idx="0">
                  <c:v>Q1 2024</c:v>
                </c:pt>
                <c:pt idx="1">
                  <c:v>Q2 2024</c:v>
                </c:pt>
                <c:pt idx="2">
                  <c:v>Q3 2024</c:v>
                </c:pt>
                <c:pt idx="3">
                  <c:v>Q4 2024</c:v>
                </c:pt>
                <c:pt idx="4">
                  <c:v>Q1 2025</c:v>
                </c:pt>
                <c:pt idx="5">
                  <c:v>Q2 2025</c:v>
                </c:pt>
                <c:pt idx="6">
                  <c:v>Q3 2025</c:v>
                </c:pt>
                <c:pt idx="7">
                  <c:v>Q4 2025</c:v>
                </c:pt>
              </c:strCache>
            </c:strRef>
          </c:cat>
          <c:val>
            <c:numRef>
              <c:f>'SmartNumbers2024-2025'!$B$32:$I$32</c:f>
              <c:numCache>
                <c:formatCode>General</c:formatCode>
                <c:ptCount val="8"/>
                <c:pt idx="0">
                  <c:v>12</c:v>
                </c:pt>
                <c:pt idx="1">
                  <c:v>4</c:v>
                </c:pt>
                <c:pt idx="2">
                  <c:v>0</c:v>
                </c:pt>
                <c:pt idx="3">
                  <c:v>2</c:v>
                </c:pt>
                <c:pt idx="4" formatCode="0">
                  <c:v>0</c:v>
                </c:pt>
                <c:pt idx="5">
                  <c:v>3</c:v>
                </c:pt>
                <c:pt idx="6">
                  <c:v>4</c:v>
                </c:pt>
                <c:pt idx="7">
                  <c:v>3</c:v>
                </c:pt>
              </c:numCache>
            </c:numRef>
          </c:val>
          <c:extLst>
            <c:ext xmlns:c16="http://schemas.microsoft.com/office/drawing/2014/chart" uri="{C3380CC4-5D6E-409C-BE32-E72D297353CC}">
              <c16:uniqueId val="{00000000-23C2-4E47-A306-7548888F188F}"/>
            </c:ext>
          </c:extLst>
        </c:ser>
        <c:dLbls>
          <c:showLegendKey val="0"/>
          <c:showVal val="0"/>
          <c:showCatName val="0"/>
          <c:showSerName val="0"/>
          <c:showPercent val="0"/>
          <c:showBubbleSize val="0"/>
        </c:dLbls>
        <c:gapWidth val="75"/>
        <c:overlap val="-25"/>
        <c:axId val="430750928"/>
        <c:axId val="430751320"/>
      </c:barChart>
      <c:catAx>
        <c:axId val="430750928"/>
        <c:scaling>
          <c:orientation val="minMax"/>
        </c:scaling>
        <c:delete val="0"/>
        <c:axPos val="b"/>
        <c:numFmt formatCode="General" sourceLinked="0"/>
        <c:majorTickMark val="none"/>
        <c:minorTickMark val="none"/>
        <c:tickLblPos val="nextTo"/>
        <c:crossAx val="430751320"/>
        <c:crosses val="autoZero"/>
        <c:auto val="1"/>
        <c:lblAlgn val="ctr"/>
        <c:lblOffset val="100"/>
        <c:noMultiLvlLbl val="0"/>
      </c:catAx>
      <c:valAx>
        <c:axId val="430751320"/>
        <c:scaling>
          <c:orientation val="minMax"/>
        </c:scaling>
        <c:delete val="0"/>
        <c:axPos val="l"/>
        <c:majorGridlines/>
        <c:numFmt formatCode="General" sourceLinked="1"/>
        <c:majorTickMark val="none"/>
        <c:minorTickMark val="none"/>
        <c:tickLblPos val="nextTo"/>
        <c:spPr>
          <a:ln w="9525">
            <a:noFill/>
          </a:ln>
        </c:spPr>
        <c:crossAx val="430750928"/>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Sales Call Close %</a:t>
            </a:r>
          </a:p>
        </c:rich>
      </c:tx>
      <c:overlay val="0"/>
    </c:title>
    <c:autoTitleDeleted val="0"/>
    <c:plotArea>
      <c:layout/>
      <c:barChart>
        <c:barDir val="col"/>
        <c:grouping val="clustered"/>
        <c:varyColors val="0"/>
        <c:ser>
          <c:idx val="0"/>
          <c:order val="0"/>
          <c:tx>
            <c:strRef>
              <c:f>'SmartNumbers2024-2025'!$A$33</c:f>
              <c:strCache>
                <c:ptCount val="1"/>
                <c:pt idx="0">
                  <c:v>Sales Call Close %</c:v>
                </c:pt>
              </c:strCache>
            </c:strRef>
          </c:tx>
          <c:invertIfNegative val="0"/>
          <c:cat>
            <c:strRef>
              <c:f>'SmartNumbers2024-2025'!$B$6:$I$6</c:f>
              <c:strCache>
                <c:ptCount val="8"/>
                <c:pt idx="0">
                  <c:v>Q1 2024</c:v>
                </c:pt>
                <c:pt idx="1">
                  <c:v>Q2 2024</c:v>
                </c:pt>
                <c:pt idx="2">
                  <c:v>Q3 2024</c:v>
                </c:pt>
                <c:pt idx="3">
                  <c:v>Q4 2024</c:v>
                </c:pt>
                <c:pt idx="4">
                  <c:v>Q1 2025</c:v>
                </c:pt>
                <c:pt idx="5">
                  <c:v>Q2 2025</c:v>
                </c:pt>
                <c:pt idx="6">
                  <c:v>Q3 2025</c:v>
                </c:pt>
                <c:pt idx="7">
                  <c:v>Q4 2025</c:v>
                </c:pt>
              </c:strCache>
            </c:strRef>
          </c:cat>
          <c:val>
            <c:numRef>
              <c:f>'SmartNumbers2024-2025'!$B$33:$I$33</c:f>
              <c:numCache>
                <c:formatCode>0%</c:formatCode>
                <c:ptCount val="8"/>
                <c:pt idx="0">
                  <c:v>0.25</c:v>
                </c:pt>
                <c:pt idx="1">
                  <c:v>0</c:v>
                </c:pt>
                <c:pt idx="2">
                  <c:v>0</c:v>
                </c:pt>
                <c:pt idx="3">
                  <c:v>0</c:v>
                </c:pt>
                <c:pt idx="4">
                  <c:v>0</c:v>
                </c:pt>
                <c:pt idx="5">
                  <c:v>1</c:v>
                </c:pt>
                <c:pt idx="6">
                  <c:v>0.5</c:v>
                </c:pt>
                <c:pt idx="7">
                  <c:v>0</c:v>
                </c:pt>
              </c:numCache>
            </c:numRef>
          </c:val>
          <c:extLst>
            <c:ext xmlns:c16="http://schemas.microsoft.com/office/drawing/2014/chart" uri="{C3380CC4-5D6E-409C-BE32-E72D297353CC}">
              <c16:uniqueId val="{00000000-B9CB-4D9B-93FD-6A0F4CE22D44}"/>
            </c:ext>
          </c:extLst>
        </c:ser>
        <c:dLbls>
          <c:showLegendKey val="0"/>
          <c:showVal val="0"/>
          <c:showCatName val="0"/>
          <c:showSerName val="0"/>
          <c:showPercent val="0"/>
          <c:showBubbleSize val="0"/>
        </c:dLbls>
        <c:gapWidth val="75"/>
        <c:overlap val="-25"/>
        <c:axId val="430791104"/>
        <c:axId val="430791496"/>
      </c:barChart>
      <c:lineChart>
        <c:grouping val="standard"/>
        <c:varyColors val="0"/>
        <c:ser>
          <c:idx val="1"/>
          <c:order val="1"/>
          <c:tx>
            <c:v>high</c:v>
          </c:tx>
          <c:spPr>
            <a:ln>
              <a:solidFill>
                <a:srgbClr val="00B050"/>
              </a:solidFill>
            </a:ln>
          </c:spPr>
          <c:marker>
            <c:symbol val="none"/>
          </c:marker>
          <c:val>
            <c:numRef>
              <c:f>Ranges!$C$36:$H$36</c:f>
              <c:numCache>
                <c:formatCode>0%</c:formatCode>
                <c:ptCount val="6"/>
                <c:pt idx="0">
                  <c:v>0.3</c:v>
                </c:pt>
                <c:pt idx="1">
                  <c:v>0.3</c:v>
                </c:pt>
                <c:pt idx="2">
                  <c:v>0.3</c:v>
                </c:pt>
                <c:pt idx="3">
                  <c:v>0.3</c:v>
                </c:pt>
                <c:pt idx="4">
                  <c:v>0.3</c:v>
                </c:pt>
                <c:pt idx="5">
                  <c:v>0.3</c:v>
                </c:pt>
              </c:numCache>
            </c:numRef>
          </c:val>
          <c:smooth val="0"/>
          <c:extLst>
            <c:ext xmlns:c16="http://schemas.microsoft.com/office/drawing/2014/chart" uri="{C3380CC4-5D6E-409C-BE32-E72D297353CC}">
              <c16:uniqueId val="{00000001-B9CB-4D9B-93FD-6A0F4CE22D44}"/>
            </c:ext>
          </c:extLst>
        </c:ser>
        <c:ser>
          <c:idx val="2"/>
          <c:order val="2"/>
          <c:tx>
            <c:v>low</c:v>
          </c:tx>
          <c:spPr>
            <a:ln>
              <a:solidFill>
                <a:srgbClr val="FF0000"/>
              </a:solidFill>
            </a:ln>
          </c:spPr>
          <c:marker>
            <c:symbol val="none"/>
          </c:marker>
          <c:val>
            <c:numRef>
              <c:f>Ranges!$C$34:$H$34</c:f>
              <c:numCache>
                <c:formatCode>0%</c:formatCode>
                <c:ptCount val="6"/>
                <c:pt idx="0">
                  <c:v>0.15</c:v>
                </c:pt>
                <c:pt idx="1">
                  <c:v>0.15</c:v>
                </c:pt>
                <c:pt idx="2">
                  <c:v>0.15</c:v>
                </c:pt>
                <c:pt idx="3">
                  <c:v>0.15</c:v>
                </c:pt>
                <c:pt idx="4">
                  <c:v>0.15</c:v>
                </c:pt>
                <c:pt idx="5">
                  <c:v>0.15</c:v>
                </c:pt>
              </c:numCache>
            </c:numRef>
          </c:val>
          <c:smooth val="0"/>
          <c:extLst>
            <c:ext xmlns:c16="http://schemas.microsoft.com/office/drawing/2014/chart" uri="{C3380CC4-5D6E-409C-BE32-E72D297353CC}">
              <c16:uniqueId val="{00000002-B9CB-4D9B-93FD-6A0F4CE22D44}"/>
            </c:ext>
          </c:extLst>
        </c:ser>
        <c:ser>
          <c:idx val="3"/>
          <c:order val="3"/>
          <c:tx>
            <c:v>average</c:v>
          </c:tx>
          <c:spPr>
            <a:ln>
              <a:solidFill>
                <a:srgbClr val="FFFF00"/>
              </a:solidFill>
            </a:ln>
          </c:spPr>
          <c:marker>
            <c:symbol val="none"/>
          </c:marker>
          <c:val>
            <c:numRef>
              <c:f>Ranges!$C$35:$H$35</c:f>
              <c:numCache>
                <c:formatCode>0%</c:formatCode>
                <c:ptCount val="6"/>
                <c:pt idx="0">
                  <c:v>0.2</c:v>
                </c:pt>
                <c:pt idx="1">
                  <c:v>0.2</c:v>
                </c:pt>
                <c:pt idx="2">
                  <c:v>0.2</c:v>
                </c:pt>
                <c:pt idx="3">
                  <c:v>0.2</c:v>
                </c:pt>
                <c:pt idx="4">
                  <c:v>0.2</c:v>
                </c:pt>
                <c:pt idx="5">
                  <c:v>0.2</c:v>
                </c:pt>
              </c:numCache>
            </c:numRef>
          </c:val>
          <c:smooth val="0"/>
          <c:extLst>
            <c:ext xmlns:c16="http://schemas.microsoft.com/office/drawing/2014/chart" uri="{C3380CC4-5D6E-409C-BE32-E72D297353CC}">
              <c16:uniqueId val="{00000003-B9CB-4D9B-93FD-6A0F4CE22D44}"/>
            </c:ext>
          </c:extLst>
        </c:ser>
        <c:dLbls>
          <c:showLegendKey val="0"/>
          <c:showVal val="0"/>
          <c:showCatName val="0"/>
          <c:showSerName val="0"/>
          <c:showPercent val="0"/>
          <c:showBubbleSize val="0"/>
        </c:dLbls>
        <c:marker val="1"/>
        <c:smooth val="0"/>
        <c:axId val="430791104"/>
        <c:axId val="430791496"/>
      </c:lineChart>
      <c:catAx>
        <c:axId val="430791104"/>
        <c:scaling>
          <c:orientation val="minMax"/>
        </c:scaling>
        <c:delete val="0"/>
        <c:axPos val="b"/>
        <c:numFmt formatCode="General" sourceLinked="0"/>
        <c:majorTickMark val="none"/>
        <c:minorTickMark val="none"/>
        <c:tickLblPos val="nextTo"/>
        <c:crossAx val="430791496"/>
        <c:crosses val="autoZero"/>
        <c:auto val="1"/>
        <c:lblAlgn val="ctr"/>
        <c:lblOffset val="100"/>
        <c:noMultiLvlLbl val="0"/>
      </c:catAx>
      <c:valAx>
        <c:axId val="430791496"/>
        <c:scaling>
          <c:orientation val="minMax"/>
        </c:scaling>
        <c:delete val="0"/>
        <c:axPos val="l"/>
        <c:majorGridlines/>
        <c:numFmt formatCode="0%" sourceLinked="1"/>
        <c:majorTickMark val="none"/>
        <c:minorTickMark val="none"/>
        <c:tickLblPos val="nextTo"/>
        <c:spPr>
          <a:ln w="9525">
            <a:noFill/>
          </a:ln>
        </c:spPr>
        <c:crossAx val="430791104"/>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Leverage/ Employee</a:t>
            </a:r>
          </a:p>
        </c:rich>
      </c:tx>
      <c:overlay val="0"/>
    </c:title>
    <c:autoTitleDeleted val="0"/>
    <c:plotArea>
      <c:layout>
        <c:manualLayout>
          <c:layoutTarget val="inner"/>
          <c:xMode val="edge"/>
          <c:yMode val="edge"/>
          <c:x val="0.19007195975503063"/>
          <c:y val="0.21332203266258384"/>
          <c:w val="0.78492804024496943"/>
          <c:h val="0.68921660834062404"/>
        </c:manualLayout>
      </c:layout>
      <c:barChart>
        <c:barDir val="col"/>
        <c:grouping val="clustered"/>
        <c:varyColors val="0"/>
        <c:ser>
          <c:idx val="0"/>
          <c:order val="0"/>
          <c:tx>
            <c:strRef>
              <c:f>'SmartNumbers2024-2025'!$A$22</c:f>
              <c:strCache>
                <c:ptCount val="1"/>
                <c:pt idx="0">
                  <c:v>Annualized Service Revenue / Employee</c:v>
                </c:pt>
              </c:strCache>
            </c:strRef>
          </c:tx>
          <c:invertIfNegative val="0"/>
          <c:cat>
            <c:strRef>
              <c:f>'SmartNumbers2024-2025'!$B$6:$I$6</c:f>
              <c:strCache>
                <c:ptCount val="8"/>
                <c:pt idx="0">
                  <c:v>Q1 2024</c:v>
                </c:pt>
                <c:pt idx="1">
                  <c:v>Q2 2024</c:v>
                </c:pt>
                <c:pt idx="2">
                  <c:v>Q3 2024</c:v>
                </c:pt>
                <c:pt idx="3">
                  <c:v>Q4 2024</c:v>
                </c:pt>
                <c:pt idx="4">
                  <c:v>Q1 2025</c:v>
                </c:pt>
                <c:pt idx="5">
                  <c:v>Q2 2025</c:v>
                </c:pt>
                <c:pt idx="6">
                  <c:v>Q3 2025</c:v>
                </c:pt>
                <c:pt idx="7">
                  <c:v>Q4 2025</c:v>
                </c:pt>
              </c:strCache>
            </c:strRef>
          </c:cat>
          <c:val>
            <c:numRef>
              <c:f>'SmartNumbers2024-2025'!$B$22:$I$22</c:f>
              <c:numCache>
                <c:formatCode>"$"#,##0</c:formatCode>
                <c:ptCount val="8"/>
                <c:pt idx="0">
                  <c:v>192828.90823529413</c:v>
                </c:pt>
                <c:pt idx="1">
                  <c:v>176301.30823529413</c:v>
                </c:pt>
                <c:pt idx="2">
                  <c:v>180016.96470588233</c:v>
                </c:pt>
                <c:pt idx="3">
                  <c:v>202058.32941176472</c:v>
                </c:pt>
                <c:pt idx="4">
                  <c:v>220817.96235294116</c:v>
                </c:pt>
                <c:pt idx="5">
                  <c:v>204723.32705882352</c:v>
                </c:pt>
                <c:pt idx="6">
                  <c:v>202289.38285714286</c:v>
                </c:pt>
                <c:pt idx="7">
                  <c:v>201653.54823529409</c:v>
                </c:pt>
              </c:numCache>
            </c:numRef>
          </c:val>
          <c:extLst>
            <c:ext xmlns:c16="http://schemas.microsoft.com/office/drawing/2014/chart" uri="{C3380CC4-5D6E-409C-BE32-E72D297353CC}">
              <c16:uniqueId val="{00000000-A7E3-48BE-8294-D0206583E911}"/>
            </c:ext>
          </c:extLst>
        </c:ser>
        <c:dLbls>
          <c:showLegendKey val="0"/>
          <c:showVal val="0"/>
          <c:showCatName val="0"/>
          <c:showSerName val="0"/>
          <c:showPercent val="0"/>
          <c:showBubbleSize val="0"/>
        </c:dLbls>
        <c:gapWidth val="75"/>
        <c:overlap val="-25"/>
        <c:axId val="430792280"/>
        <c:axId val="428652584"/>
      </c:barChart>
      <c:lineChart>
        <c:grouping val="standard"/>
        <c:varyColors val="0"/>
        <c:ser>
          <c:idx val="1"/>
          <c:order val="1"/>
          <c:tx>
            <c:strRef>
              <c:f>Ranges!$B$54</c:f>
              <c:strCache>
                <c:ptCount val="1"/>
                <c:pt idx="0">
                  <c:v>High</c:v>
                </c:pt>
              </c:strCache>
            </c:strRef>
          </c:tx>
          <c:spPr>
            <a:ln w="25400" cap="flat" cmpd="sng" algn="ctr">
              <a:solidFill>
                <a:srgbClr val="92D050"/>
              </a:solidFill>
              <a:prstDash val="solid"/>
            </a:ln>
            <a:effectLst/>
          </c:spPr>
          <c:marker>
            <c:symbol val="none"/>
          </c:marker>
          <c:val>
            <c:numRef>
              <c:f>Ranges!$C$40:$H$40</c:f>
              <c:numCache>
                <c:formatCode>"$"#,##0.00</c:formatCode>
                <c:ptCount val="6"/>
                <c:pt idx="0">
                  <c:v>175000</c:v>
                </c:pt>
                <c:pt idx="1">
                  <c:v>175000</c:v>
                </c:pt>
                <c:pt idx="2">
                  <c:v>175000</c:v>
                </c:pt>
                <c:pt idx="3">
                  <c:v>175000</c:v>
                </c:pt>
                <c:pt idx="4">
                  <c:v>175000</c:v>
                </c:pt>
                <c:pt idx="5">
                  <c:v>175000</c:v>
                </c:pt>
              </c:numCache>
            </c:numRef>
          </c:val>
          <c:smooth val="0"/>
          <c:extLst>
            <c:ext xmlns:c16="http://schemas.microsoft.com/office/drawing/2014/chart" uri="{C3380CC4-5D6E-409C-BE32-E72D297353CC}">
              <c16:uniqueId val="{00000001-A7E3-48BE-8294-D0206583E911}"/>
            </c:ext>
          </c:extLst>
        </c:ser>
        <c:ser>
          <c:idx val="2"/>
          <c:order val="2"/>
          <c:tx>
            <c:strRef>
              <c:f>Ranges!$B$55</c:f>
              <c:strCache>
                <c:ptCount val="1"/>
                <c:pt idx="0">
                  <c:v>Average</c:v>
                </c:pt>
              </c:strCache>
            </c:strRef>
          </c:tx>
          <c:spPr>
            <a:ln>
              <a:solidFill>
                <a:srgbClr val="FFFF00"/>
              </a:solidFill>
            </a:ln>
          </c:spPr>
          <c:marker>
            <c:symbol val="none"/>
          </c:marker>
          <c:val>
            <c:numRef>
              <c:f>Ranges!$C$39:$H$39</c:f>
              <c:numCache>
                <c:formatCode>"$"#,##0.00</c:formatCode>
                <c:ptCount val="6"/>
                <c:pt idx="0">
                  <c:v>150000</c:v>
                </c:pt>
                <c:pt idx="1">
                  <c:v>150000</c:v>
                </c:pt>
                <c:pt idx="2">
                  <c:v>150000</c:v>
                </c:pt>
                <c:pt idx="3">
                  <c:v>150000</c:v>
                </c:pt>
                <c:pt idx="4">
                  <c:v>150000</c:v>
                </c:pt>
                <c:pt idx="5">
                  <c:v>150000</c:v>
                </c:pt>
              </c:numCache>
            </c:numRef>
          </c:val>
          <c:smooth val="0"/>
          <c:extLst>
            <c:ext xmlns:c16="http://schemas.microsoft.com/office/drawing/2014/chart" uri="{C3380CC4-5D6E-409C-BE32-E72D297353CC}">
              <c16:uniqueId val="{00000002-A7E3-48BE-8294-D0206583E911}"/>
            </c:ext>
          </c:extLst>
        </c:ser>
        <c:ser>
          <c:idx val="3"/>
          <c:order val="3"/>
          <c:tx>
            <c:v>low</c:v>
          </c:tx>
          <c:spPr>
            <a:ln w="25400" cap="flat" cmpd="sng" algn="ctr">
              <a:solidFill>
                <a:srgbClr val="FF0000"/>
              </a:solidFill>
              <a:prstDash val="solid"/>
            </a:ln>
            <a:effectLst/>
          </c:spPr>
          <c:marker>
            <c:symbol val="none"/>
          </c:marker>
          <c:val>
            <c:numRef>
              <c:f>Ranges!$C$38:$H$38</c:f>
              <c:numCache>
                <c:formatCode>"$"#,##0.00</c:formatCode>
                <c:ptCount val="6"/>
                <c:pt idx="0">
                  <c:v>125000</c:v>
                </c:pt>
                <c:pt idx="1">
                  <c:v>125000</c:v>
                </c:pt>
                <c:pt idx="2">
                  <c:v>125000</c:v>
                </c:pt>
                <c:pt idx="3">
                  <c:v>125000</c:v>
                </c:pt>
                <c:pt idx="4">
                  <c:v>125000</c:v>
                </c:pt>
                <c:pt idx="5">
                  <c:v>125000</c:v>
                </c:pt>
              </c:numCache>
            </c:numRef>
          </c:val>
          <c:smooth val="0"/>
          <c:extLst>
            <c:ext xmlns:c16="http://schemas.microsoft.com/office/drawing/2014/chart" uri="{C3380CC4-5D6E-409C-BE32-E72D297353CC}">
              <c16:uniqueId val="{00000003-A7E3-48BE-8294-D0206583E911}"/>
            </c:ext>
          </c:extLst>
        </c:ser>
        <c:dLbls>
          <c:showLegendKey val="0"/>
          <c:showVal val="0"/>
          <c:showCatName val="0"/>
          <c:showSerName val="0"/>
          <c:showPercent val="0"/>
          <c:showBubbleSize val="0"/>
        </c:dLbls>
        <c:marker val="1"/>
        <c:smooth val="0"/>
        <c:axId val="430792280"/>
        <c:axId val="428652584"/>
      </c:lineChart>
      <c:catAx>
        <c:axId val="430792280"/>
        <c:scaling>
          <c:orientation val="minMax"/>
        </c:scaling>
        <c:delete val="0"/>
        <c:axPos val="b"/>
        <c:numFmt formatCode="General" sourceLinked="0"/>
        <c:majorTickMark val="none"/>
        <c:minorTickMark val="none"/>
        <c:tickLblPos val="nextTo"/>
        <c:crossAx val="428652584"/>
        <c:crosses val="autoZero"/>
        <c:auto val="1"/>
        <c:lblAlgn val="ctr"/>
        <c:lblOffset val="100"/>
        <c:noMultiLvlLbl val="0"/>
      </c:catAx>
      <c:valAx>
        <c:axId val="428652584"/>
        <c:scaling>
          <c:orientation val="minMax"/>
        </c:scaling>
        <c:delete val="0"/>
        <c:axPos val="l"/>
        <c:majorGridlines>
          <c:spPr>
            <a:ln w="9525" cap="flat" cmpd="sng" algn="ctr">
              <a:solidFill>
                <a:schemeClr val="accent2">
                  <a:shade val="95000"/>
                  <a:satMod val="105000"/>
                </a:schemeClr>
              </a:solidFill>
              <a:prstDash val="solid"/>
            </a:ln>
            <a:effectLst/>
          </c:spPr>
        </c:majorGridlines>
        <c:numFmt formatCode="&quot;$&quot;#,##0" sourceLinked="1"/>
        <c:majorTickMark val="none"/>
        <c:minorTickMark val="none"/>
        <c:tickLblPos val="nextTo"/>
        <c:spPr>
          <a:ln w="9525">
            <a:noFill/>
          </a:ln>
        </c:spPr>
        <c:crossAx val="430792280"/>
        <c:crosses val="autoZero"/>
        <c:crossBetween val="between"/>
      </c:valAx>
    </c:plotArea>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a:pPr>
            <a:r>
              <a:rPr lang="en-US"/>
              <a:t>Leverage/Engineer</a:t>
            </a:r>
          </a:p>
        </c:rich>
      </c:tx>
      <c:layout>
        <c:manualLayout>
          <c:xMode val="edge"/>
          <c:yMode val="edge"/>
          <c:x val="0.30408333333333332"/>
          <c:y val="2.7777777777777776E-2"/>
        </c:manualLayout>
      </c:layout>
      <c:overlay val="0"/>
    </c:title>
    <c:autoTitleDeleted val="0"/>
    <c:plotArea>
      <c:layout/>
      <c:barChart>
        <c:barDir val="col"/>
        <c:grouping val="clustered"/>
        <c:varyColors val="0"/>
        <c:ser>
          <c:idx val="0"/>
          <c:order val="0"/>
          <c:tx>
            <c:strRef>
              <c:f>'SmartNumbers2024-2025'!$A$23</c:f>
              <c:strCache>
                <c:ptCount val="1"/>
                <c:pt idx="0">
                  <c:v>Annualized Service Revenue / Technical Employee</c:v>
                </c:pt>
              </c:strCache>
            </c:strRef>
          </c:tx>
          <c:invertIfNegative val="0"/>
          <c:cat>
            <c:strRef>
              <c:f>'SmartNumbers2024-2025'!$B$6:$I$6</c:f>
              <c:strCache>
                <c:ptCount val="8"/>
                <c:pt idx="0">
                  <c:v>Q1 2024</c:v>
                </c:pt>
                <c:pt idx="1">
                  <c:v>Q2 2024</c:v>
                </c:pt>
                <c:pt idx="2">
                  <c:v>Q3 2024</c:v>
                </c:pt>
                <c:pt idx="3">
                  <c:v>Q4 2024</c:v>
                </c:pt>
                <c:pt idx="4">
                  <c:v>Q1 2025</c:v>
                </c:pt>
                <c:pt idx="5">
                  <c:v>Q2 2025</c:v>
                </c:pt>
                <c:pt idx="6">
                  <c:v>Q3 2025</c:v>
                </c:pt>
                <c:pt idx="7">
                  <c:v>Q4 2025</c:v>
                </c:pt>
              </c:strCache>
            </c:strRef>
          </c:cat>
          <c:val>
            <c:numRef>
              <c:f>'SmartNumbers2024-2025'!$B$23:$I$23</c:f>
              <c:numCache>
                <c:formatCode>"$"#,##0</c:formatCode>
                <c:ptCount val="8"/>
                <c:pt idx="0">
                  <c:v>298008.31272727274</c:v>
                </c:pt>
                <c:pt idx="1">
                  <c:v>272465.6581818182</c:v>
                </c:pt>
                <c:pt idx="2">
                  <c:v>278208.03636363632</c:v>
                </c:pt>
                <c:pt idx="3">
                  <c:v>312271.96363636362</c:v>
                </c:pt>
                <c:pt idx="4">
                  <c:v>341264.1236363636</c:v>
                </c:pt>
                <c:pt idx="5">
                  <c:v>256130.15999999997</c:v>
                </c:pt>
                <c:pt idx="6">
                  <c:v>275476.61419354839</c:v>
                </c:pt>
                <c:pt idx="7">
                  <c:v>284708.2690909091</c:v>
                </c:pt>
              </c:numCache>
            </c:numRef>
          </c:val>
          <c:extLst>
            <c:ext xmlns:c16="http://schemas.microsoft.com/office/drawing/2014/chart" uri="{C3380CC4-5D6E-409C-BE32-E72D297353CC}">
              <c16:uniqueId val="{00000000-2621-4152-96C1-9C4221268401}"/>
            </c:ext>
          </c:extLst>
        </c:ser>
        <c:dLbls>
          <c:showLegendKey val="0"/>
          <c:showVal val="0"/>
          <c:showCatName val="0"/>
          <c:showSerName val="0"/>
          <c:showPercent val="0"/>
          <c:showBubbleSize val="0"/>
        </c:dLbls>
        <c:gapWidth val="75"/>
        <c:overlap val="-25"/>
        <c:axId val="428653368"/>
        <c:axId val="428653760"/>
      </c:barChart>
      <c:lineChart>
        <c:grouping val="standard"/>
        <c:varyColors val="0"/>
        <c:ser>
          <c:idx val="1"/>
          <c:order val="1"/>
          <c:tx>
            <c:v>Low</c:v>
          </c:tx>
          <c:spPr>
            <a:ln>
              <a:solidFill>
                <a:srgbClr val="FF000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Ranges!$C$42:$H$42</c:f>
              <c:numCache>
                <c:formatCode>"$"#,##0.00</c:formatCode>
                <c:ptCount val="6"/>
                <c:pt idx="0">
                  <c:v>180000</c:v>
                </c:pt>
                <c:pt idx="1">
                  <c:v>180000</c:v>
                </c:pt>
                <c:pt idx="2">
                  <c:v>180000</c:v>
                </c:pt>
                <c:pt idx="3">
                  <c:v>180000</c:v>
                </c:pt>
                <c:pt idx="4">
                  <c:v>180000</c:v>
                </c:pt>
                <c:pt idx="5">
                  <c:v>180000</c:v>
                </c:pt>
              </c:numCache>
            </c:numRef>
          </c:val>
          <c:smooth val="0"/>
          <c:extLst>
            <c:ext xmlns:c16="http://schemas.microsoft.com/office/drawing/2014/chart" uri="{C3380CC4-5D6E-409C-BE32-E72D297353CC}">
              <c16:uniqueId val="{00000001-2621-4152-96C1-9C4221268401}"/>
            </c:ext>
          </c:extLst>
        </c:ser>
        <c:ser>
          <c:idx val="2"/>
          <c:order val="2"/>
          <c:tx>
            <c:v>Average</c:v>
          </c:tx>
          <c:spPr>
            <a:ln>
              <a:solidFill>
                <a:srgbClr val="FFFF0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Ranges!$C$43:$H$43</c:f>
              <c:numCache>
                <c:formatCode>"$"#,##0.00</c:formatCode>
                <c:ptCount val="6"/>
                <c:pt idx="0">
                  <c:v>250000</c:v>
                </c:pt>
                <c:pt idx="1">
                  <c:v>250000</c:v>
                </c:pt>
                <c:pt idx="2">
                  <c:v>250000</c:v>
                </c:pt>
                <c:pt idx="3">
                  <c:v>250000</c:v>
                </c:pt>
                <c:pt idx="4">
                  <c:v>250000</c:v>
                </c:pt>
                <c:pt idx="5">
                  <c:v>250000</c:v>
                </c:pt>
              </c:numCache>
            </c:numRef>
          </c:val>
          <c:smooth val="0"/>
          <c:extLst>
            <c:ext xmlns:c16="http://schemas.microsoft.com/office/drawing/2014/chart" uri="{C3380CC4-5D6E-409C-BE32-E72D297353CC}">
              <c16:uniqueId val="{00000002-2621-4152-96C1-9C4221268401}"/>
            </c:ext>
          </c:extLst>
        </c:ser>
        <c:ser>
          <c:idx val="3"/>
          <c:order val="3"/>
          <c:tx>
            <c:v>High</c:v>
          </c:tx>
          <c:spPr>
            <a:ln>
              <a:solidFill>
                <a:srgbClr val="92D05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Ranges!$C$44:$H$44</c:f>
              <c:numCache>
                <c:formatCode>"$"#,##0.00</c:formatCode>
                <c:ptCount val="6"/>
                <c:pt idx="0">
                  <c:v>300000</c:v>
                </c:pt>
                <c:pt idx="1">
                  <c:v>300000</c:v>
                </c:pt>
                <c:pt idx="2">
                  <c:v>300000</c:v>
                </c:pt>
                <c:pt idx="3">
                  <c:v>300000</c:v>
                </c:pt>
                <c:pt idx="4">
                  <c:v>300000</c:v>
                </c:pt>
                <c:pt idx="5">
                  <c:v>300000</c:v>
                </c:pt>
              </c:numCache>
            </c:numRef>
          </c:val>
          <c:smooth val="0"/>
          <c:extLst>
            <c:ext xmlns:c16="http://schemas.microsoft.com/office/drawing/2014/chart" uri="{C3380CC4-5D6E-409C-BE32-E72D297353CC}">
              <c16:uniqueId val="{00000003-2621-4152-96C1-9C4221268401}"/>
            </c:ext>
          </c:extLst>
        </c:ser>
        <c:dLbls>
          <c:showLegendKey val="0"/>
          <c:showVal val="0"/>
          <c:showCatName val="0"/>
          <c:showSerName val="0"/>
          <c:showPercent val="0"/>
          <c:showBubbleSize val="0"/>
        </c:dLbls>
        <c:marker val="1"/>
        <c:smooth val="0"/>
        <c:axId val="428653368"/>
        <c:axId val="428653760"/>
      </c:lineChart>
      <c:catAx>
        <c:axId val="428653368"/>
        <c:scaling>
          <c:orientation val="minMax"/>
        </c:scaling>
        <c:delete val="0"/>
        <c:axPos val="b"/>
        <c:numFmt formatCode="General" sourceLinked="0"/>
        <c:majorTickMark val="none"/>
        <c:minorTickMark val="none"/>
        <c:tickLblPos val="nextTo"/>
        <c:crossAx val="428653760"/>
        <c:crosses val="autoZero"/>
        <c:auto val="1"/>
        <c:lblAlgn val="ctr"/>
        <c:lblOffset val="100"/>
        <c:noMultiLvlLbl val="0"/>
      </c:catAx>
      <c:valAx>
        <c:axId val="428653760"/>
        <c:scaling>
          <c:orientation val="minMax"/>
        </c:scaling>
        <c:delete val="0"/>
        <c:axPos val="l"/>
        <c:majorGridlines/>
        <c:numFmt formatCode="&quot;$&quot;#,##0" sourceLinked="1"/>
        <c:majorTickMark val="none"/>
        <c:minorTickMark val="none"/>
        <c:tickLblPos val="nextTo"/>
        <c:spPr>
          <a:ln w="9525">
            <a:noFill/>
          </a:ln>
        </c:spPr>
        <c:crossAx val="428653368"/>
        <c:crosses val="autoZero"/>
        <c:crossBetween val="between"/>
      </c:valAx>
    </c:plotArea>
    <c:plotVisOnly val="1"/>
    <c:dispBlanksAs val="gap"/>
    <c:showDLblsOverMax val="0"/>
  </c:chart>
  <c:printSettings>
    <c:headerFooter/>
    <c:pageMargins b="0.75000000000000033" l="0.70000000000000029" r="0.70000000000000029" t="0.75000000000000033" header="0.30000000000000016" footer="0.30000000000000016"/>
    <c:pageSetup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title>
    <c:autoTitleDeleted val="0"/>
    <c:plotArea>
      <c:layout/>
      <c:barChart>
        <c:barDir val="col"/>
        <c:grouping val="clustered"/>
        <c:varyColors val="0"/>
        <c:ser>
          <c:idx val="0"/>
          <c:order val="0"/>
          <c:tx>
            <c:strRef>
              <c:f>'SmartNumbers2024-2025'!$A$30</c:f>
              <c:strCache>
                <c:ptCount val="1"/>
                <c:pt idx="0">
                  <c:v>Net MRR gain</c:v>
                </c:pt>
              </c:strCache>
            </c:strRef>
          </c:tx>
          <c:invertIfNegative val="0"/>
          <c:cat>
            <c:strRef>
              <c:f>'SmartNumbers2024-2025'!$B$6:$I$6</c:f>
              <c:strCache>
                <c:ptCount val="8"/>
                <c:pt idx="0">
                  <c:v>Q1 2024</c:v>
                </c:pt>
                <c:pt idx="1">
                  <c:v>Q2 2024</c:v>
                </c:pt>
                <c:pt idx="2">
                  <c:v>Q3 2024</c:v>
                </c:pt>
                <c:pt idx="3">
                  <c:v>Q4 2024</c:v>
                </c:pt>
                <c:pt idx="4">
                  <c:v>Q1 2025</c:v>
                </c:pt>
                <c:pt idx="5">
                  <c:v>Q2 2025</c:v>
                </c:pt>
                <c:pt idx="6">
                  <c:v>Q3 2025</c:v>
                </c:pt>
                <c:pt idx="7">
                  <c:v>Q4 2025</c:v>
                </c:pt>
              </c:strCache>
            </c:strRef>
          </c:cat>
          <c:val>
            <c:numRef>
              <c:f>'SmartNumbers2024-2025'!$B$30:$I$30</c:f>
              <c:numCache>
                <c:formatCode>"$"#,##0</c:formatCode>
                <c:ptCount val="8"/>
                <c:pt idx="0">
                  <c:v>9528</c:v>
                </c:pt>
                <c:pt idx="1">
                  <c:v>-779.68</c:v>
                </c:pt>
                <c:pt idx="2">
                  <c:v>100</c:v>
                </c:pt>
                <c:pt idx="3">
                  <c:v>0</c:v>
                </c:pt>
                <c:pt idx="4">
                  <c:v>-182.4</c:v>
                </c:pt>
                <c:pt idx="5">
                  <c:v>548</c:v>
                </c:pt>
                <c:pt idx="6">
                  <c:v>-9987.08</c:v>
                </c:pt>
                <c:pt idx="7">
                  <c:v>0</c:v>
                </c:pt>
              </c:numCache>
            </c:numRef>
          </c:val>
          <c:extLst>
            <c:ext xmlns:c16="http://schemas.microsoft.com/office/drawing/2014/chart" uri="{C3380CC4-5D6E-409C-BE32-E72D297353CC}">
              <c16:uniqueId val="{00000000-8C49-4E7E-8038-86F2F688C383}"/>
            </c:ext>
          </c:extLst>
        </c:ser>
        <c:dLbls>
          <c:showLegendKey val="0"/>
          <c:showVal val="0"/>
          <c:showCatName val="0"/>
          <c:showSerName val="0"/>
          <c:showPercent val="0"/>
          <c:showBubbleSize val="0"/>
        </c:dLbls>
        <c:gapWidth val="75"/>
        <c:overlap val="-25"/>
        <c:axId val="428787816"/>
        <c:axId val="428788208"/>
      </c:barChart>
      <c:catAx>
        <c:axId val="428787816"/>
        <c:scaling>
          <c:orientation val="minMax"/>
        </c:scaling>
        <c:delete val="0"/>
        <c:axPos val="b"/>
        <c:numFmt formatCode="General" sourceLinked="0"/>
        <c:majorTickMark val="none"/>
        <c:minorTickMark val="none"/>
        <c:tickLblPos val="nextTo"/>
        <c:crossAx val="428788208"/>
        <c:crosses val="autoZero"/>
        <c:auto val="1"/>
        <c:lblAlgn val="ctr"/>
        <c:lblOffset val="100"/>
        <c:noMultiLvlLbl val="0"/>
      </c:catAx>
      <c:valAx>
        <c:axId val="428788208"/>
        <c:scaling>
          <c:orientation val="minMax"/>
        </c:scaling>
        <c:delete val="0"/>
        <c:axPos val="l"/>
        <c:majorGridlines/>
        <c:numFmt formatCode="&quot;$&quot;#,##0" sourceLinked="1"/>
        <c:majorTickMark val="none"/>
        <c:minorTickMark val="none"/>
        <c:tickLblPos val="nextTo"/>
        <c:crossAx val="428787816"/>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1"/>
          <c:order val="0"/>
          <c:tx>
            <c:strRef>
              <c:f>SmartNumbers2025!$A$8</c:f>
              <c:strCache>
                <c:ptCount val="1"/>
                <c:pt idx="0">
                  <c:v>Reactive Tickets / Tech / Month (closed)</c:v>
                </c:pt>
              </c:strCache>
            </c:strRef>
          </c:tx>
          <c:invertIfNegative val="0"/>
          <c:cat>
            <c:strRef>
              <c:f>SmartNumbers2025!$B$6:$E$6</c:f>
              <c:strCache>
                <c:ptCount val="4"/>
                <c:pt idx="0">
                  <c:v>Q1 2025</c:v>
                </c:pt>
                <c:pt idx="1">
                  <c:v>Q2 2025</c:v>
                </c:pt>
                <c:pt idx="2">
                  <c:v>Q3 2025</c:v>
                </c:pt>
                <c:pt idx="3">
                  <c:v>Q4 2025</c:v>
                </c:pt>
              </c:strCache>
            </c:strRef>
          </c:cat>
          <c:val>
            <c:numRef>
              <c:f>SmartNumbers2025!$B$8:$E$8</c:f>
              <c:numCache>
                <c:formatCode>0.00</c:formatCode>
                <c:ptCount val="4"/>
                <c:pt idx="0">
                  <c:v>65.454545454545453</c:v>
                </c:pt>
                <c:pt idx="1">
                  <c:v>74.606060606060609</c:v>
                </c:pt>
                <c:pt idx="2">
                  <c:v>70.064516129032256</c:v>
                </c:pt>
                <c:pt idx="3">
                  <c:v>64.36363636363636</c:v>
                </c:pt>
              </c:numCache>
            </c:numRef>
          </c:val>
          <c:extLst>
            <c:ext xmlns:c16="http://schemas.microsoft.com/office/drawing/2014/chart" uri="{C3380CC4-5D6E-409C-BE32-E72D297353CC}">
              <c16:uniqueId val="{00000000-63C3-4D39-B31F-FB29F3D94C98}"/>
            </c:ext>
          </c:extLst>
        </c:ser>
        <c:dLbls>
          <c:showLegendKey val="0"/>
          <c:showVal val="0"/>
          <c:showCatName val="0"/>
          <c:showSerName val="0"/>
          <c:showPercent val="0"/>
          <c:showBubbleSize val="0"/>
        </c:dLbls>
        <c:gapWidth val="75"/>
        <c:overlap val="-25"/>
        <c:axId val="428788992"/>
        <c:axId val="428789384"/>
      </c:barChart>
      <c:catAx>
        <c:axId val="428788992"/>
        <c:scaling>
          <c:orientation val="minMax"/>
        </c:scaling>
        <c:delete val="0"/>
        <c:axPos val="b"/>
        <c:numFmt formatCode="General" sourceLinked="0"/>
        <c:majorTickMark val="none"/>
        <c:minorTickMark val="none"/>
        <c:tickLblPos val="nextTo"/>
        <c:crossAx val="428789384"/>
        <c:crosses val="autoZero"/>
        <c:auto val="1"/>
        <c:lblAlgn val="ctr"/>
        <c:lblOffset val="100"/>
        <c:noMultiLvlLbl val="0"/>
      </c:catAx>
      <c:valAx>
        <c:axId val="428789384"/>
        <c:scaling>
          <c:orientation val="minMax"/>
        </c:scaling>
        <c:delete val="0"/>
        <c:axPos val="l"/>
        <c:majorGridlines/>
        <c:numFmt formatCode="General" sourceLinked="0"/>
        <c:majorTickMark val="none"/>
        <c:minorTickMark val="none"/>
        <c:tickLblPos val="nextTo"/>
        <c:spPr>
          <a:ln w="9525">
            <a:noFill/>
          </a:ln>
        </c:spPr>
        <c:crossAx val="428788992"/>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SmartNumbers2025!$A$9</c:f>
              <c:strCache>
                <c:ptCount val="1"/>
                <c:pt idx="0">
                  <c:v>Total Close %</c:v>
                </c:pt>
              </c:strCache>
            </c:strRef>
          </c:tx>
          <c:cat>
            <c:strRef>
              <c:f>SmartNumbers2025!$B$6:$E$6</c:f>
              <c:strCache>
                <c:ptCount val="4"/>
                <c:pt idx="0">
                  <c:v>Q1 2025</c:v>
                </c:pt>
                <c:pt idx="1">
                  <c:v>Q2 2025</c:v>
                </c:pt>
                <c:pt idx="2">
                  <c:v>Q3 2025</c:v>
                </c:pt>
                <c:pt idx="3">
                  <c:v>Q4 2025</c:v>
                </c:pt>
              </c:strCache>
            </c:strRef>
          </c:cat>
          <c:val>
            <c:numRef>
              <c:f>SmartNumbers2025!$B$9:$E$9</c:f>
              <c:numCache>
                <c:formatCode>0.00%</c:formatCode>
                <c:ptCount val="4"/>
                <c:pt idx="0">
                  <c:v>0.99907493061979646</c:v>
                </c:pt>
                <c:pt idx="1">
                  <c:v>0.99194198227236097</c:v>
                </c:pt>
                <c:pt idx="2">
                  <c:v>1.0055555555555555</c:v>
                </c:pt>
                <c:pt idx="3">
                  <c:v>0.98060941828254844</c:v>
                </c:pt>
              </c:numCache>
            </c:numRef>
          </c:val>
          <c:smooth val="0"/>
          <c:extLst>
            <c:ext xmlns:c16="http://schemas.microsoft.com/office/drawing/2014/chart" uri="{C3380CC4-5D6E-409C-BE32-E72D297353CC}">
              <c16:uniqueId val="{00000000-7377-46D5-BC39-F0146C5A712F}"/>
            </c:ext>
          </c:extLst>
        </c:ser>
        <c:dLbls>
          <c:showLegendKey val="0"/>
          <c:showVal val="0"/>
          <c:showCatName val="0"/>
          <c:showSerName val="0"/>
          <c:showPercent val="0"/>
          <c:showBubbleSize val="0"/>
        </c:dLbls>
        <c:marker val="1"/>
        <c:smooth val="0"/>
        <c:axId val="430524840"/>
        <c:axId val="430525232"/>
      </c:lineChart>
      <c:catAx>
        <c:axId val="430524840"/>
        <c:scaling>
          <c:orientation val="minMax"/>
        </c:scaling>
        <c:delete val="0"/>
        <c:axPos val="b"/>
        <c:numFmt formatCode="General" sourceLinked="0"/>
        <c:majorTickMark val="none"/>
        <c:minorTickMark val="none"/>
        <c:tickLblPos val="nextTo"/>
        <c:crossAx val="430525232"/>
        <c:crosses val="autoZero"/>
        <c:auto val="1"/>
        <c:lblAlgn val="ctr"/>
        <c:lblOffset val="100"/>
        <c:noMultiLvlLbl val="0"/>
      </c:catAx>
      <c:valAx>
        <c:axId val="430525232"/>
        <c:scaling>
          <c:orientation val="minMax"/>
        </c:scaling>
        <c:delete val="0"/>
        <c:axPos val="l"/>
        <c:majorGridlines/>
        <c:numFmt formatCode="0.00%" sourceLinked="1"/>
        <c:majorTickMark val="none"/>
        <c:minorTickMark val="none"/>
        <c:tickLblPos val="nextTo"/>
        <c:spPr>
          <a:ln w="9525">
            <a:noFill/>
          </a:ln>
        </c:spPr>
        <c:crossAx val="430524840"/>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SmartNumbers2025!$A$10</c:f>
              <c:strCache>
                <c:ptCount val="1"/>
                <c:pt idx="0">
                  <c:v>Reactive Tickets / Endpoint / Month (new)</c:v>
                </c:pt>
              </c:strCache>
            </c:strRef>
          </c:tx>
          <c:invertIfNegative val="0"/>
          <c:cat>
            <c:strRef>
              <c:f>SmartNumbers2025!$B$6:$E$6</c:f>
              <c:strCache>
                <c:ptCount val="4"/>
                <c:pt idx="0">
                  <c:v>Q1 2025</c:v>
                </c:pt>
                <c:pt idx="1">
                  <c:v>Q2 2025</c:v>
                </c:pt>
                <c:pt idx="2">
                  <c:v>Q3 2025</c:v>
                </c:pt>
                <c:pt idx="3">
                  <c:v>Q4 2025</c:v>
                </c:pt>
              </c:strCache>
            </c:strRef>
          </c:cat>
          <c:val>
            <c:numRef>
              <c:f>SmartNumbers2025!$B$10:$E$10</c:f>
              <c:numCache>
                <c:formatCode>0.00</c:formatCode>
                <c:ptCount val="4"/>
                <c:pt idx="0">
                  <c:v>0.60662177328843991</c:v>
                </c:pt>
                <c:pt idx="1">
                  <c:v>0.66936353829557715</c:v>
                </c:pt>
                <c:pt idx="2">
                  <c:v>0.62973760932944611</c:v>
                </c:pt>
                <c:pt idx="3">
                  <c:v>0.31282495667244364</c:v>
                </c:pt>
              </c:numCache>
            </c:numRef>
          </c:val>
          <c:extLst>
            <c:ext xmlns:c16="http://schemas.microsoft.com/office/drawing/2014/chart" uri="{C3380CC4-5D6E-409C-BE32-E72D297353CC}">
              <c16:uniqueId val="{00000000-1DA7-4F78-BE4C-751221EB75C0}"/>
            </c:ext>
          </c:extLst>
        </c:ser>
        <c:dLbls>
          <c:showLegendKey val="0"/>
          <c:showVal val="0"/>
          <c:showCatName val="0"/>
          <c:showSerName val="0"/>
          <c:showPercent val="0"/>
          <c:showBubbleSize val="0"/>
        </c:dLbls>
        <c:gapWidth val="75"/>
        <c:overlap val="-25"/>
        <c:axId val="430526016"/>
        <c:axId val="384259632"/>
      </c:barChart>
      <c:catAx>
        <c:axId val="430526016"/>
        <c:scaling>
          <c:orientation val="minMax"/>
        </c:scaling>
        <c:delete val="0"/>
        <c:axPos val="b"/>
        <c:numFmt formatCode="General" sourceLinked="0"/>
        <c:majorTickMark val="none"/>
        <c:minorTickMark val="none"/>
        <c:tickLblPos val="nextTo"/>
        <c:crossAx val="384259632"/>
        <c:crosses val="autoZero"/>
        <c:auto val="1"/>
        <c:lblAlgn val="ctr"/>
        <c:lblOffset val="100"/>
        <c:noMultiLvlLbl val="0"/>
      </c:catAx>
      <c:valAx>
        <c:axId val="384259632"/>
        <c:scaling>
          <c:orientation val="minMax"/>
        </c:scaling>
        <c:delete val="0"/>
        <c:axPos val="l"/>
        <c:majorGridlines/>
        <c:numFmt formatCode="0.00" sourceLinked="1"/>
        <c:majorTickMark val="none"/>
        <c:minorTickMark val="none"/>
        <c:tickLblPos val="nextTo"/>
        <c:spPr>
          <a:ln w="9525">
            <a:noFill/>
          </a:ln>
        </c:spPr>
        <c:crossAx val="430526016"/>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SmartNumbers2025!$A$12</c:f>
              <c:strCache>
                <c:ptCount val="1"/>
                <c:pt idx="0">
                  <c:v>Average Resolution Time</c:v>
                </c:pt>
              </c:strCache>
            </c:strRef>
          </c:tx>
          <c:invertIfNegative val="0"/>
          <c:cat>
            <c:strRef>
              <c:f>SmartNumbers2025!$B$6:$E$6</c:f>
              <c:strCache>
                <c:ptCount val="4"/>
                <c:pt idx="0">
                  <c:v>Q1 2025</c:v>
                </c:pt>
                <c:pt idx="1">
                  <c:v>Q2 2025</c:v>
                </c:pt>
                <c:pt idx="2">
                  <c:v>Q3 2025</c:v>
                </c:pt>
                <c:pt idx="3">
                  <c:v>Q4 2025</c:v>
                </c:pt>
              </c:strCache>
            </c:strRef>
          </c:cat>
          <c:val>
            <c:numRef>
              <c:f>SmartNumbers2025!$B$12:$E$12</c:f>
              <c:numCache>
                <c:formatCode>0.00</c:formatCode>
                <c:ptCount val="4"/>
                <c:pt idx="0">
                  <c:v>0.41870370370370369</c:v>
                </c:pt>
                <c:pt idx="1">
                  <c:v>0.32511779041429734</c:v>
                </c:pt>
                <c:pt idx="2">
                  <c:v>0</c:v>
                </c:pt>
                <c:pt idx="3">
                  <c:v>0</c:v>
                </c:pt>
              </c:numCache>
            </c:numRef>
          </c:val>
          <c:extLst>
            <c:ext xmlns:c16="http://schemas.microsoft.com/office/drawing/2014/chart" uri="{C3380CC4-5D6E-409C-BE32-E72D297353CC}">
              <c16:uniqueId val="{00000000-3A12-462A-9373-0BD5AA211CED}"/>
            </c:ext>
          </c:extLst>
        </c:ser>
        <c:dLbls>
          <c:showLegendKey val="0"/>
          <c:showVal val="0"/>
          <c:showCatName val="0"/>
          <c:showSerName val="0"/>
          <c:showPercent val="0"/>
          <c:showBubbleSize val="0"/>
        </c:dLbls>
        <c:gapWidth val="75"/>
        <c:overlap val="-25"/>
        <c:axId val="384260416"/>
        <c:axId val="384260808"/>
      </c:barChart>
      <c:catAx>
        <c:axId val="384260416"/>
        <c:scaling>
          <c:orientation val="minMax"/>
        </c:scaling>
        <c:delete val="0"/>
        <c:axPos val="b"/>
        <c:numFmt formatCode="General" sourceLinked="0"/>
        <c:majorTickMark val="none"/>
        <c:minorTickMark val="none"/>
        <c:tickLblPos val="nextTo"/>
        <c:crossAx val="384260808"/>
        <c:crosses val="autoZero"/>
        <c:auto val="1"/>
        <c:lblAlgn val="ctr"/>
        <c:lblOffset val="100"/>
        <c:noMultiLvlLbl val="0"/>
      </c:catAx>
      <c:valAx>
        <c:axId val="384260808"/>
        <c:scaling>
          <c:orientation val="minMax"/>
        </c:scaling>
        <c:delete val="0"/>
        <c:axPos val="l"/>
        <c:majorGridlines/>
        <c:numFmt formatCode="0.00" sourceLinked="1"/>
        <c:majorTickMark val="none"/>
        <c:minorTickMark val="none"/>
        <c:tickLblPos val="nextTo"/>
        <c:spPr>
          <a:ln w="9525">
            <a:noFill/>
          </a:ln>
        </c:spPr>
        <c:crossAx val="384260416"/>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Net Profit</a:t>
            </a:r>
          </a:p>
        </c:rich>
      </c:tx>
      <c:overlay val="0"/>
    </c:title>
    <c:autoTitleDeleted val="0"/>
    <c:plotArea>
      <c:layout>
        <c:manualLayout>
          <c:layoutTarget val="inner"/>
          <c:xMode val="edge"/>
          <c:yMode val="edge"/>
          <c:x val="0.13953018372703438"/>
          <c:y val="0.19480351414406533"/>
          <c:w val="0.82991426071741037"/>
          <c:h val="0.65482210557013765"/>
        </c:manualLayout>
      </c:layout>
      <c:barChart>
        <c:barDir val="col"/>
        <c:grouping val="clustered"/>
        <c:varyColors val="0"/>
        <c:ser>
          <c:idx val="0"/>
          <c:order val="0"/>
          <c:tx>
            <c:strRef>
              <c:f>SmartNumbers2025!$A$15</c:f>
              <c:strCache>
                <c:ptCount val="1"/>
                <c:pt idx="0">
                  <c:v>Net Profit %</c:v>
                </c:pt>
              </c:strCache>
            </c:strRef>
          </c:tx>
          <c:invertIfNegative val="0"/>
          <c:cat>
            <c:strRef>
              <c:f>'SmartNumbers2024-2025'!$F$6:$I$6</c:f>
              <c:strCache>
                <c:ptCount val="4"/>
                <c:pt idx="0">
                  <c:v>Q1 2025</c:v>
                </c:pt>
                <c:pt idx="1">
                  <c:v>Q2 2025</c:v>
                </c:pt>
                <c:pt idx="2">
                  <c:v>Q3 2025</c:v>
                </c:pt>
                <c:pt idx="3">
                  <c:v>Q4 2025</c:v>
                </c:pt>
              </c:strCache>
            </c:strRef>
          </c:cat>
          <c:val>
            <c:numRef>
              <c:f>SmartNumbers2025!$B$15:$E$15</c:f>
              <c:numCache>
                <c:formatCode>0.00%</c:formatCode>
                <c:ptCount val="4"/>
                <c:pt idx="0">
                  <c:v>0.1047578882269167</c:v>
                </c:pt>
                <c:pt idx="1">
                  <c:v>0.10855307217591917</c:v>
                </c:pt>
                <c:pt idx="2">
                  <c:v>0.11865078250202495</c:v>
                </c:pt>
                <c:pt idx="3">
                  <c:v>0.17389481487064076</c:v>
                </c:pt>
              </c:numCache>
            </c:numRef>
          </c:val>
          <c:extLst>
            <c:ext xmlns:c16="http://schemas.microsoft.com/office/drawing/2014/chart" uri="{C3380CC4-5D6E-409C-BE32-E72D297353CC}">
              <c16:uniqueId val="{00000000-132C-449A-AAAF-1B7558AD23B8}"/>
            </c:ext>
          </c:extLst>
        </c:ser>
        <c:dLbls>
          <c:showLegendKey val="0"/>
          <c:showVal val="0"/>
          <c:showCatName val="0"/>
          <c:showSerName val="0"/>
          <c:showPercent val="0"/>
          <c:showBubbleSize val="0"/>
        </c:dLbls>
        <c:gapWidth val="75"/>
        <c:overlap val="-25"/>
        <c:axId val="384341552"/>
        <c:axId val="384341944"/>
      </c:barChart>
      <c:lineChart>
        <c:grouping val="standard"/>
        <c:varyColors val="0"/>
        <c:ser>
          <c:idx val="1"/>
          <c:order val="1"/>
          <c:tx>
            <c:v>Low</c:v>
          </c:tx>
          <c:spPr>
            <a:ln>
              <a:solidFill>
                <a:srgbClr val="FF0000">
                  <a:alpha val="49000"/>
                </a:srgbClr>
              </a:solidFill>
            </a:ln>
          </c:spPr>
          <c:marker>
            <c:symbol val="none"/>
          </c:marker>
          <c:cat>
            <c:numRef>
              <c:f>Ranges!$C$1:$F$1</c:f>
              <c:numCache>
                <c:formatCode>General</c:formatCode>
                <c:ptCount val="4"/>
              </c:numCache>
            </c:numRef>
          </c:cat>
          <c:val>
            <c:numRef>
              <c:f>Ranges!$C$2:$F$2</c:f>
              <c:numCache>
                <c:formatCode>0%</c:formatCode>
                <c:ptCount val="4"/>
                <c:pt idx="0">
                  <c:v>0.15</c:v>
                </c:pt>
                <c:pt idx="1">
                  <c:v>0.15</c:v>
                </c:pt>
                <c:pt idx="2">
                  <c:v>0.15</c:v>
                </c:pt>
                <c:pt idx="3">
                  <c:v>0.15</c:v>
                </c:pt>
              </c:numCache>
            </c:numRef>
          </c:val>
          <c:smooth val="0"/>
          <c:extLst>
            <c:ext xmlns:c16="http://schemas.microsoft.com/office/drawing/2014/chart" uri="{C3380CC4-5D6E-409C-BE32-E72D297353CC}">
              <c16:uniqueId val="{00000001-132C-449A-AAAF-1B7558AD23B8}"/>
            </c:ext>
          </c:extLst>
        </c:ser>
        <c:ser>
          <c:idx val="2"/>
          <c:order val="2"/>
          <c:tx>
            <c:v>Average</c:v>
          </c:tx>
          <c:spPr>
            <a:ln w="50800">
              <a:solidFill>
                <a:srgbClr val="FFFF00">
                  <a:alpha val="69804"/>
                </a:srgbClr>
              </a:solidFill>
              <a:prstDash val="solid"/>
            </a:ln>
          </c:spPr>
          <c:marker>
            <c:symbol val="none"/>
          </c:marker>
          <c:val>
            <c:numRef>
              <c:f>Ranges!$C$3:$F$3</c:f>
              <c:numCache>
                <c:formatCode>0%</c:formatCode>
                <c:ptCount val="4"/>
                <c:pt idx="0">
                  <c:v>0.25</c:v>
                </c:pt>
                <c:pt idx="1">
                  <c:v>0.25</c:v>
                </c:pt>
                <c:pt idx="2">
                  <c:v>0.25</c:v>
                </c:pt>
                <c:pt idx="3">
                  <c:v>0.25</c:v>
                </c:pt>
              </c:numCache>
            </c:numRef>
          </c:val>
          <c:smooth val="0"/>
          <c:extLst>
            <c:ext xmlns:c16="http://schemas.microsoft.com/office/drawing/2014/chart" uri="{C3380CC4-5D6E-409C-BE32-E72D297353CC}">
              <c16:uniqueId val="{00000002-132C-449A-AAAF-1B7558AD23B8}"/>
            </c:ext>
          </c:extLst>
        </c:ser>
        <c:ser>
          <c:idx val="3"/>
          <c:order val="3"/>
          <c:tx>
            <c:v>High</c:v>
          </c:tx>
          <c:spPr>
            <a:ln>
              <a:solidFill>
                <a:srgbClr val="92D050">
                  <a:alpha val="70000"/>
                </a:srgbClr>
              </a:solidFill>
              <a:prstDash val="solid"/>
            </a:ln>
          </c:spPr>
          <c:marker>
            <c:symbol val="none"/>
          </c:marker>
          <c:val>
            <c:numRef>
              <c:f>Ranges!$C$4:$F$4</c:f>
              <c:numCache>
                <c:formatCode>0%</c:formatCode>
                <c:ptCount val="4"/>
                <c:pt idx="0">
                  <c:v>0.35</c:v>
                </c:pt>
                <c:pt idx="1">
                  <c:v>0.35</c:v>
                </c:pt>
                <c:pt idx="2">
                  <c:v>0.35</c:v>
                </c:pt>
                <c:pt idx="3">
                  <c:v>0.35</c:v>
                </c:pt>
              </c:numCache>
            </c:numRef>
          </c:val>
          <c:smooth val="0"/>
          <c:extLst>
            <c:ext xmlns:c16="http://schemas.microsoft.com/office/drawing/2014/chart" uri="{C3380CC4-5D6E-409C-BE32-E72D297353CC}">
              <c16:uniqueId val="{00000003-132C-449A-AAAF-1B7558AD23B8}"/>
            </c:ext>
          </c:extLst>
        </c:ser>
        <c:dLbls>
          <c:showLegendKey val="0"/>
          <c:showVal val="0"/>
          <c:showCatName val="0"/>
          <c:showSerName val="0"/>
          <c:showPercent val="0"/>
          <c:showBubbleSize val="0"/>
        </c:dLbls>
        <c:marker val="1"/>
        <c:smooth val="0"/>
        <c:axId val="384341552"/>
        <c:axId val="384341944"/>
      </c:lineChart>
      <c:catAx>
        <c:axId val="384341552"/>
        <c:scaling>
          <c:orientation val="minMax"/>
        </c:scaling>
        <c:delete val="0"/>
        <c:axPos val="b"/>
        <c:numFmt formatCode="General" sourceLinked="0"/>
        <c:majorTickMark val="none"/>
        <c:minorTickMark val="none"/>
        <c:tickLblPos val="nextTo"/>
        <c:crossAx val="384341944"/>
        <c:crosses val="autoZero"/>
        <c:auto val="1"/>
        <c:lblAlgn val="ctr"/>
        <c:lblOffset val="100"/>
        <c:noMultiLvlLbl val="0"/>
      </c:catAx>
      <c:valAx>
        <c:axId val="384341944"/>
        <c:scaling>
          <c:orientation val="minMax"/>
        </c:scaling>
        <c:delete val="0"/>
        <c:axPos val="l"/>
        <c:majorGridlines/>
        <c:numFmt formatCode="0.00%" sourceLinked="1"/>
        <c:majorTickMark val="none"/>
        <c:minorTickMark val="none"/>
        <c:tickLblPos val="nextTo"/>
        <c:spPr>
          <a:ln w="9525">
            <a:noFill/>
          </a:ln>
        </c:spPr>
        <c:crossAx val="384341552"/>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 of Revenue</a:t>
            </a:r>
            <a:r>
              <a:rPr lang="en-US" baseline="0"/>
              <a:t> from Services</a:t>
            </a:r>
            <a:endParaRPr lang="en-US"/>
          </a:p>
        </c:rich>
      </c:tx>
      <c:overlay val="0"/>
    </c:title>
    <c:autoTitleDeleted val="0"/>
    <c:plotArea>
      <c:layout/>
      <c:barChart>
        <c:barDir val="col"/>
        <c:grouping val="clustered"/>
        <c:varyColors val="0"/>
        <c:ser>
          <c:idx val="0"/>
          <c:order val="0"/>
          <c:tx>
            <c:strRef>
              <c:f>SmartNumbers2025!$A$18</c:f>
              <c:strCache>
                <c:ptCount val="1"/>
                <c:pt idx="0">
                  <c:v>% of Revenue from Services</c:v>
                </c:pt>
              </c:strCache>
            </c:strRef>
          </c:tx>
          <c:invertIfNegative val="0"/>
          <c:dLbls>
            <c:dLbl>
              <c:idx val="0"/>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5A2-466A-A0E1-FE3EBE82D563}"/>
                </c:ext>
              </c:extLst>
            </c:dLbl>
            <c:spPr>
              <a:noFill/>
              <a:ln>
                <a:noFill/>
              </a:ln>
              <a:effectLst/>
            </c:spPr>
            <c:txPr>
              <a:bodyPr/>
              <a:lstStyle/>
              <a:p>
                <a:pPr>
                  <a:defRPr b="1"/>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'SmartNumbers2024-2025'!$F$6:$I$6</c:f>
              <c:strCache>
                <c:ptCount val="4"/>
                <c:pt idx="0">
                  <c:v>Q1 2025</c:v>
                </c:pt>
                <c:pt idx="1">
                  <c:v>Q2 2025</c:v>
                </c:pt>
                <c:pt idx="2">
                  <c:v>Q3 2025</c:v>
                </c:pt>
                <c:pt idx="3">
                  <c:v>Q4 2025</c:v>
                </c:pt>
              </c:strCache>
            </c:strRef>
          </c:cat>
          <c:val>
            <c:numRef>
              <c:f>SmartNumbers2025!$B$18:$E$18</c:f>
              <c:numCache>
                <c:formatCode>0.00%</c:formatCode>
                <c:ptCount val="4"/>
                <c:pt idx="0">
                  <c:v>0.70270940272826832</c:v>
                </c:pt>
                <c:pt idx="1">
                  <c:v>0.75389759108914334</c:v>
                </c:pt>
                <c:pt idx="2">
                  <c:v>0.70153245340116344</c:v>
                </c:pt>
                <c:pt idx="3">
                  <c:v>0.72100044854194023</c:v>
                </c:pt>
              </c:numCache>
            </c:numRef>
          </c:val>
          <c:extLst>
            <c:ext xmlns:c16="http://schemas.microsoft.com/office/drawing/2014/chart" uri="{C3380CC4-5D6E-409C-BE32-E72D297353CC}">
              <c16:uniqueId val="{00000001-15A2-466A-A0E1-FE3EBE82D563}"/>
            </c:ext>
          </c:extLst>
        </c:ser>
        <c:dLbls>
          <c:showLegendKey val="0"/>
          <c:showVal val="0"/>
          <c:showCatName val="0"/>
          <c:showSerName val="0"/>
          <c:showPercent val="0"/>
          <c:showBubbleSize val="0"/>
        </c:dLbls>
        <c:gapWidth val="75"/>
        <c:overlap val="-25"/>
        <c:axId val="384342728"/>
        <c:axId val="384343120"/>
      </c:barChart>
      <c:lineChart>
        <c:grouping val="standard"/>
        <c:varyColors val="0"/>
        <c:ser>
          <c:idx val="1"/>
          <c:order val="1"/>
          <c:tx>
            <c:v>Low</c:v>
          </c:tx>
          <c:spPr>
            <a:ln>
              <a:solidFill>
                <a:srgbClr val="FF0000">
                  <a:alpha val="70000"/>
                </a:srgbClr>
              </a:solidFill>
            </a:ln>
          </c:spPr>
          <c:marker>
            <c:symbol val="none"/>
          </c:marker>
          <c:cat>
            <c:numRef>
              <c:f>Ranges!$C$1:$F$1</c:f>
              <c:numCache>
                <c:formatCode>General</c:formatCode>
                <c:ptCount val="4"/>
              </c:numCache>
            </c:numRef>
          </c:cat>
          <c:val>
            <c:numRef>
              <c:f>Ranges!$C$6:$F$6</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2-15A2-466A-A0E1-FE3EBE82D563}"/>
            </c:ext>
          </c:extLst>
        </c:ser>
        <c:ser>
          <c:idx val="2"/>
          <c:order val="2"/>
          <c:tx>
            <c:v>Average</c:v>
          </c:tx>
          <c:spPr>
            <a:ln>
              <a:solidFill>
                <a:srgbClr val="FFFF00">
                  <a:alpha val="70000"/>
                </a:srgbClr>
              </a:solidFill>
            </a:ln>
          </c:spPr>
          <c:marker>
            <c:symbol val="none"/>
          </c:marker>
          <c:cat>
            <c:numRef>
              <c:f>Ranges!$C$1:$F$1</c:f>
              <c:numCache>
                <c:formatCode>General</c:formatCode>
                <c:ptCount val="4"/>
              </c:numCache>
            </c:numRef>
          </c:cat>
          <c:val>
            <c:numRef>
              <c:f>Ranges!$C$7:$F$7</c:f>
              <c:numCache>
                <c:formatCode>0%</c:formatCode>
                <c:ptCount val="4"/>
                <c:pt idx="0">
                  <c:v>0.7</c:v>
                </c:pt>
                <c:pt idx="1">
                  <c:v>0.7</c:v>
                </c:pt>
                <c:pt idx="2">
                  <c:v>0.7</c:v>
                </c:pt>
                <c:pt idx="3">
                  <c:v>0.7</c:v>
                </c:pt>
              </c:numCache>
            </c:numRef>
          </c:val>
          <c:smooth val="0"/>
          <c:extLst>
            <c:ext xmlns:c16="http://schemas.microsoft.com/office/drawing/2014/chart" uri="{C3380CC4-5D6E-409C-BE32-E72D297353CC}">
              <c16:uniqueId val="{00000003-15A2-466A-A0E1-FE3EBE82D563}"/>
            </c:ext>
          </c:extLst>
        </c:ser>
        <c:ser>
          <c:idx val="3"/>
          <c:order val="3"/>
          <c:tx>
            <c:v>High</c:v>
          </c:tx>
          <c:spPr>
            <a:ln>
              <a:solidFill>
                <a:srgbClr val="92D050">
                  <a:alpha val="70000"/>
                </a:srgbClr>
              </a:solidFill>
            </a:ln>
          </c:spPr>
          <c:marker>
            <c:symbol val="none"/>
          </c:marker>
          <c:cat>
            <c:numRef>
              <c:f>Ranges!$C$1:$F$1</c:f>
              <c:numCache>
                <c:formatCode>General</c:formatCode>
                <c:ptCount val="4"/>
              </c:numCache>
            </c:numRef>
          </c:cat>
          <c:val>
            <c:numRef>
              <c:f>Ranges!$C$8:$F$8</c:f>
              <c:numCache>
                <c:formatCode>0%</c:formatCode>
                <c:ptCount val="4"/>
                <c:pt idx="0">
                  <c:v>0.8</c:v>
                </c:pt>
                <c:pt idx="1">
                  <c:v>0.8</c:v>
                </c:pt>
                <c:pt idx="2">
                  <c:v>0.8</c:v>
                </c:pt>
                <c:pt idx="3">
                  <c:v>0.8</c:v>
                </c:pt>
              </c:numCache>
            </c:numRef>
          </c:val>
          <c:smooth val="0"/>
          <c:extLst>
            <c:ext xmlns:c16="http://schemas.microsoft.com/office/drawing/2014/chart" uri="{C3380CC4-5D6E-409C-BE32-E72D297353CC}">
              <c16:uniqueId val="{00000004-15A2-466A-A0E1-FE3EBE82D563}"/>
            </c:ext>
          </c:extLst>
        </c:ser>
        <c:dLbls>
          <c:showLegendKey val="0"/>
          <c:showVal val="0"/>
          <c:showCatName val="0"/>
          <c:showSerName val="0"/>
          <c:showPercent val="0"/>
          <c:showBubbleSize val="0"/>
        </c:dLbls>
        <c:marker val="1"/>
        <c:smooth val="0"/>
        <c:axId val="384342728"/>
        <c:axId val="384343120"/>
      </c:lineChart>
      <c:catAx>
        <c:axId val="384342728"/>
        <c:scaling>
          <c:orientation val="minMax"/>
        </c:scaling>
        <c:delete val="0"/>
        <c:axPos val="b"/>
        <c:numFmt formatCode="General" sourceLinked="0"/>
        <c:majorTickMark val="none"/>
        <c:minorTickMark val="none"/>
        <c:tickLblPos val="nextTo"/>
        <c:crossAx val="384343120"/>
        <c:crosses val="autoZero"/>
        <c:auto val="1"/>
        <c:lblAlgn val="ctr"/>
        <c:lblOffset val="100"/>
        <c:noMultiLvlLbl val="0"/>
      </c:catAx>
      <c:valAx>
        <c:axId val="384343120"/>
        <c:scaling>
          <c:orientation val="minMax"/>
        </c:scaling>
        <c:delete val="0"/>
        <c:axPos val="l"/>
        <c:majorGridlines/>
        <c:numFmt formatCode="0.00%" sourceLinked="1"/>
        <c:majorTickMark val="none"/>
        <c:minorTickMark val="none"/>
        <c:tickLblPos val="nextTo"/>
        <c:spPr>
          <a:ln w="9525">
            <a:noFill/>
          </a:ln>
        </c:spPr>
        <c:crossAx val="384342728"/>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t>
            </a:r>
            <a:r>
              <a:rPr lang="en-US" baseline="0"/>
              <a:t> Services from MRR</a:t>
            </a:r>
            <a:endParaRPr lang="en-US"/>
          </a:p>
        </c:rich>
      </c:tx>
      <c:overlay val="0"/>
    </c:title>
    <c:autoTitleDeleted val="0"/>
    <c:plotArea>
      <c:layout/>
      <c:barChart>
        <c:barDir val="col"/>
        <c:grouping val="clustered"/>
        <c:varyColors val="0"/>
        <c:ser>
          <c:idx val="0"/>
          <c:order val="0"/>
          <c:tx>
            <c:strRef>
              <c:f>SmartNumbers2025!$A$19</c:f>
              <c:strCache>
                <c:ptCount val="1"/>
                <c:pt idx="0">
                  <c:v>% of Services from MRR</c:v>
                </c:pt>
              </c:strCache>
            </c:strRef>
          </c:tx>
          <c:invertIfNegative val="0"/>
          <c:dLbls>
            <c:spPr>
              <a:noFill/>
              <a:ln>
                <a:noFill/>
              </a:ln>
              <a:effectLst/>
            </c:spPr>
            <c:txPr>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'SmartNumbers2024-2025'!$F$6:$I$6</c:f>
              <c:strCache>
                <c:ptCount val="4"/>
                <c:pt idx="0">
                  <c:v>Q1 2025</c:v>
                </c:pt>
                <c:pt idx="1">
                  <c:v>Q2 2025</c:v>
                </c:pt>
                <c:pt idx="2">
                  <c:v>Q3 2025</c:v>
                </c:pt>
                <c:pt idx="3">
                  <c:v>Q4 2025</c:v>
                </c:pt>
              </c:strCache>
            </c:strRef>
          </c:cat>
          <c:val>
            <c:numRef>
              <c:f>SmartNumbers2025!$B$19:$E$19</c:f>
              <c:numCache>
                <c:formatCode>0.00%</c:formatCode>
                <c:ptCount val="4"/>
                <c:pt idx="0">
                  <c:v>0.91089069332991979</c:v>
                </c:pt>
                <c:pt idx="1">
                  <c:v>0.97344500723595173</c:v>
                </c:pt>
                <c:pt idx="2">
                  <c:v>0.92108386967533051</c:v>
                </c:pt>
                <c:pt idx="3">
                  <c:v>0.83704659521719804</c:v>
                </c:pt>
              </c:numCache>
            </c:numRef>
          </c:val>
          <c:extLst>
            <c:ext xmlns:c16="http://schemas.microsoft.com/office/drawing/2014/chart" uri="{C3380CC4-5D6E-409C-BE32-E72D297353CC}">
              <c16:uniqueId val="{00000000-E794-4E7C-98E9-C50F4EC18A57}"/>
            </c:ext>
          </c:extLst>
        </c:ser>
        <c:dLbls>
          <c:showLegendKey val="0"/>
          <c:showVal val="0"/>
          <c:showCatName val="0"/>
          <c:showSerName val="0"/>
          <c:showPercent val="0"/>
          <c:showBubbleSize val="0"/>
        </c:dLbls>
        <c:gapWidth val="75"/>
        <c:overlap val="-25"/>
        <c:axId val="384370616"/>
        <c:axId val="384371008"/>
      </c:barChart>
      <c:lineChart>
        <c:grouping val="standard"/>
        <c:varyColors val="0"/>
        <c:ser>
          <c:idx val="1"/>
          <c:order val="1"/>
          <c:tx>
            <c:v>Low</c:v>
          </c:tx>
          <c:spPr>
            <a:ln>
              <a:solidFill>
                <a:srgbClr val="FF0000">
                  <a:alpha val="70000"/>
                </a:srgbClr>
              </a:solidFill>
            </a:ln>
          </c:spPr>
          <c:marker>
            <c:symbol val="none"/>
          </c:marker>
          <c:cat>
            <c:numRef>
              <c:f>Ranges!$C$1:$F$1</c:f>
              <c:numCache>
                <c:formatCode>General</c:formatCode>
                <c:ptCount val="4"/>
              </c:numCache>
            </c:numRef>
          </c:cat>
          <c:val>
            <c:numRef>
              <c:f>Ranges!$C$10:$F$10</c:f>
              <c:numCache>
                <c:formatCode>0%</c:formatCode>
                <c:ptCount val="4"/>
                <c:pt idx="0">
                  <c:v>0.55000000000000004</c:v>
                </c:pt>
                <c:pt idx="1">
                  <c:v>0.55000000000000004</c:v>
                </c:pt>
                <c:pt idx="2">
                  <c:v>0.55000000000000004</c:v>
                </c:pt>
                <c:pt idx="3">
                  <c:v>0.55000000000000004</c:v>
                </c:pt>
              </c:numCache>
            </c:numRef>
          </c:val>
          <c:smooth val="0"/>
          <c:extLst>
            <c:ext xmlns:c16="http://schemas.microsoft.com/office/drawing/2014/chart" uri="{C3380CC4-5D6E-409C-BE32-E72D297353CC}">
              <c16:uniqueId val="{00000001-E794-4E7C-98E9-C50F4EC18A57}"/>
            </c:ext>
          </c:extLst>
        </c:ser>
        <c:ser>
          <c:idx val="2"/>
          <c:order val="2"/>
          <c:tx>
            <c:v>Average</c:v>
          </c:tx>
          <c:spPr>
            <a:ln>
              <a:solidFill>
                <a:srgbClr val="FFFF00">
                  <a:alpha val="70000"/>
                </a:srgbClr>
              </a:solidFill>
            </a:ln>
          </c:spPr>
          <c:marker>
            <c:symbol val="none"/>
          </c:marker>
          <c:cat>
            <c:numRef>
              <c:f>Ranges!$C$1:$F$1</c:f>
              <c:numCache>
                <c:formatCode>General</c:formatCode>
                <c:ptCount val="4"/>
              </c:numCache>
            </c:numRef>
          </c:cat>
          <c:val>
            <c:numRef>
              <c:f>Ranges!$C$11:$F$11</c:f>
              <c:numCache>
                <c:formatCode>0%</c:formatCode>
                <c:ptCount val="4"/>
                <c:pt idx="0">
                  <c:v>0.7</c:v>
                </c:pt>
                <c:pt idx="1">
                  <c:v>0.7</c:v>
                </c:pt>
                <c:pt idx="2">
                  <c:v>0.7</c:v>
                </c:pt>
                <c:pt idx="3">
                  <c:v>0.7</c:v>
                </c:pt>
              </c:numCache>
            </c:numRef>
          </c:val>
          <c:smooth val="0"/>
          <c:extLst>
            <c:ext xmlns:c16="http://schemas.microsoft.com/office/drawing/2014/chart" uri="{C3380CC4-5D6E-409C-BE32-E72D297353CC}">
              <c16:uniqueId val="{00000002-E794-4E7C-98E9-C50F4EC18A57}"/>
            </c:ext>
          </c:extLst>
        </c:ser>
        <c:ser>
          <c:idx val="3"/>
          <c:order val="3"/>
          <c:tx>
            <c:v>High</c:v>
          </c:tx>
          <c:spPr>
            <a:ln>
              <a:solidFill>
                <a:srgbClr val="92D050">
                  <a:alpha val="70000"/>
                </a:srgbClr>
              </a:solidFill>
            </a:ln>
          </c:spPr>
          <c:marker>
            <c:symbol val="none"/>
          </c:marker>
          <c:cat>
            <c:numRef>
              <c:f>Ranges!$C$1:$F$1</c:f>
              <c:numCache>
                <c:formatCode>General</c:formatCode>
                <c:ptCount val="4"/>
              </c:numCache>
            </c:numRef>
          </c:cat>
          <c:val>
            <c:numRef>
              <c:f>Ranges!$C$12:$F$12</c:f>
              <c:numCache>
                <c:formatCode>0%</c:formatCode>
                <c:ptCount val="4"/>
                <c:pt idx="0">
                  <c:v>0.8</c:v>
                </c:pt>
                <c:pt idx="1">
                  <c:v>0.8</c:v>
                </c:pt>
                <c:pt idx="2">
                  <c:v>0.8</c:v>
                </c:pt>
                <c:pt idx="3">
                  <c:v>0.8</c:v>
                </c:pt>
              </c:numCache>
            </c:numRef>
          </c:val>
          <c:smooth val="0"/>
          <c:extLst>
            <c:ext xmlns:c16="http://schemas.microsoft.com/office/drawing/2014/chart" uri="{C3380CC4-5D6E-409C-BE32-E72D297353CC}">
              <c16:uniqueId val="{00000003-E794-4E7C-98E9-C50F4EC18A57}"/>
            </c:ext>
          </c:extLst>
        </c:ser>
        <c:dLbls>
          <c:showLegendKey val="0"/>
          <c:showVal val="0"/>
          <c:showCatName val="0"/>
          <c:showSerName val="0"/>
          <c:showPercent val="0"/>
          <c:showBubbleSize val="0"/>
        </c:dLbls>
        <c:marker val="1"/>
        <c:smooth val="0"/>
        <c:axId val="384370616"/>
        <c:axId val="384371008"/>
      </c:lineChart>
      <c:catAx>
        <c:axId val="384370616"/>
        <c:scaling>
          <c:orientation val="minMax"/>
        </c:scaling>
        <c:delete val="0"/>
        <c:axPos val="b"/>
        <c:numFmt formatCode="General" sourceLinked="0"/>
        <c:majorTickMark val="none"/>
        <c:minorTickMark val="none"/>
        <c:tickLblPos val="nextTo"/>
        <c:crossAx val="384371008"/>
        <c:crosses val="autoZero"/>
        <c:auto val="1"/>
        <c:lblAlgn val="ctr"/>
        <c:lblOffset val="100"/>
        <c:noMultiLvlLbl val="0"/>
      </c:catAx>
      <c:valAx>
        <c:axId val="384371008"/>
        <c:scaling>
          <c:orientation val="minMax"/>
        </c:scaling>
        <c:delete val="0"/>
        <c:axPos val="l"/>
        <c:majorGridlines/>
        <c:numFmt formatCode="0.00%" sourceLinked="1"/>
        <c:majorTickMark val="none"/>
        <c:minorTickMark val="none"/>
        <c:tickLblPos val="nextTo"/>
        <c:spPr>
          <a:ln w="9525">
            <a:noFill/>
          </a:ln>
        </c:spPr>
        <c:crossAx val="384370616"/>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Reactive %</a:t>
            </a:r>
          </a:p>
        </c:rich>
      </c:tx>
      <c:overlay val="0"/>
    </c:title>
    <c:autoTitleDeleted val="0"/>
    <c:plotArea>
      <c:layout/>
      <c:barChart>
        <c:barDir val="col"/>
        <c:grouping val="clustered"/>
        <c:varyColors val="0"/>
        <c:ser>
          <c:idx val="0"/>
          <c:order val="0"/>
          <c:tx>
            <c:strRef>
              <c:f>SmartNumbers2025!$A$13</c:f>
              <c:strCache>
                <c:ptCount val="1"/>
                <c:pt idx="0">
                  <c:v>Reactive Service %</c:v>
                </c:pt>
              </c:strCache>
            </c:strRef>
          </c:tx>
          <c:invertIfNegative val="0"/>
          <c:cat>
            <c:strRef>
              <c:f>'SmartNumbers2024-2025'!$F$6:$I$6</c:f>
              <c:strCache>
                <c:ptCount val="4"/>
                <c:pt idx="0">
                  <c:v>Q1 2025</c:v>
                </c:pt>
                <c:pt idx="1">
                  <c:v>Q2 2025</c:v>
                </c:pt>
                <c:pt idx="2">
                  <c:v>Q3 2025</c:v>
                </c:pt>
                <c:pt idx="3">
                  <c:v>Q4 2025</c:v>
                </c:pt>
              </c:strCache>
            </c:strRef>
          </c:cat>
          <c:val>
            <c:numRef>
              <c:f>SmartNumbers2025!$B$13:$E$13</c:f>
              <c:numCache>
                <c:formatCode>0.00%</c:formatCode>
                <c:ptCount val="4"/>
                <c:pt idx="0">
                  <c:v>0.16410814734168025</c:v>
                </c:pt>
                <c:pt idx="1">
                  <c:v>0.14524405733986573</c:v>
                </c:pt>
                <c:pt idx="2">
                  <c:v>0</c:v>
                </c:pt>
                <c:pt idx="3">
                  <c:v>0</c:v>
                </c:pt>
              </c:numCache>
            </c:numRef>
          </c:val>
          <c:extLst>
            <c:ext xmlns:c16="http://schemas.microsoft.com/office/drawing/2014/chart" uri="{C3380CC4-5D6E-409C-BE32-E72D297353CC}">
              <c16:uniqueId val="{00000000-AF57-4038-BF08-4C678879B391}"/>
            </c:ext>
          </c:extLst>
        </c:ser>
        <c:dLbls>
          <c:showLegendKey val="0"/>
          <c:showVal val="0"/>
          <c:showCatName val="0"/>
          <c:showSerName val="0"/>
          <c:showPercent val="0"/>
          <c:showBubbleSize val="0"/>
        </c:dLbls>
        <c:gapWidth val="75"/>
        <c:overlap val="-25"/>
        <c:axId val="429330472"/>
        <c:axId val="429330864"/>
      </c:barChart>
      <c:catAx>
        <c:axId val="429330472"/>
        <c:scaling>
          <c:orientation val="minMax"/>
        </c:scaling>
        <c:delete val="0"/>
        <c:axPos val="b"/>
        <c:numFmt formatCode="General" sourceLinked="0"/>
        <c:majorTickMark val="none"/>
        <c:minorTickMark val="none"/>
        <c:tickLblPos val="nextTo"/>
        <c:crossAx val="429330864"/>
        <c:crosses val="autoZero"/>
        <c:auto val="1"/>
        <c:lblAlgn val="ctr"/>
        <c:lblOffset val="100"/>
        <c:noMultiLvlLbl val="0"/>
      </c:catAx>
      <c:valAx>
        <c:axId val="429330864"/>
        <c:scaling>
          <c:orientation val="minMax"/>
        </c:scaling>
        <c:delete val="0"/>
        <c:axPos val="l"/>
        <c:majorGridlines/>
        <c:numFmt formatCode="0.00%" sourceLinked="1"/>
        <c:majorTickMark val="none"/>
        <c:minorTickMark val="none"/>
        <c:tickLblPos val="nextTo"/>
        <c:spPr>
          <a:ln w="9525">
            <a:noFill/>
          </a:ln>
        </c:spPr>
        <c:crossAx val="429330472"/>
        <c:crosses val="autoZero"/>
        <c:crossBetween val="between"/>
      </c:valAx>
    </c:plotArea>
    <c:legend>
      <c:legendPos val="b"/>
      <c:overlay val="0"/>
    </c:legend>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Average AISP</a:t>
            </a:r>
          </a:p>
        </c:rich>
      </c:tx>
      <c:overlay val="0"/>
    </c:title>
    <c:autoTitleDeleted val="0"/>
    <c:plotArea>
      <c:layout/>
      <c:barChart>
        <c:barDir val="col"/>
        <c:grouping val="clustered"/>
        <c:varyColors val="0"/>
        <c:ser>
          <c:idx val="0"/>
          <c:order val="0"/>
          <c:tx>
            <c:strRef>
              <c:f>SmartNumbers2025!$A$24</c:f>
              <c:strCache>
                <c:ptCount val="1"/>
                <c:pt idx="0">
                  <c:v>Average AISP</c:v>
                </c:pt>
              </c:strCache>
            </c:strRef>
          </c:tx>
          <c:invertIfNegative val="0"/>
          <c:cat>
            <c:strRef>
              <c:f>'SmartNumbers2024-2025'!$F$6:$I$6</c:f>
              <c:strCache>
                <c:ptCount val="4"/>
                <c:pt idx="0">
                  <c:v>Q1 2025</c:v>
                </c:pt>
                <c:pt idx="1">
                  <c:v>Q2 2025</c:v>
                </c:pt>
                <c:pt idx="2">
                  <c:v>Q3 2025</c:v>
                </c:pt>
                <c:pt idx="3">
                  <c:v>Q4 2025</c:v>
                </c:pt>
              </c:strCache>
            </c:strRef>
          </c:cat>
          <c:val>
            <c:numRef>
              <c:f>SmartNumbers2025!$B$24:$E$24</c:f>
              <c:numCache>
                <c:formatCode>"$"#,##0.00</c:formatCode>
                <c:ptCount val="4"/>
                <c:pt idx="0">
                  <c:v>202.30506437768244</c:v>
                </c:pt>
                <c:pt idx="1">
                  <c:v>201.6628588235294</c:v>
                </c:pt>
                <c:pt idx="2">
                  <c:v>209.02022321428572</c:v>
                </c:pt>
                <c:pt idx="3">
                  <c:v>0</c:v>
                </c:pt>
              </c:numCache>
            </c:numRef>
          </c:val>
          <c:extLst>
            <c:ext xmlns:c16="http://schemas.microsoft.com/office/drawing/2014/chart" uri="{C3380CC4-5D6E-409C-BE32-E72D297353CC}">
              <c16:uniqueId val="{00000000-8742-489E-BEF6-C372E5E8455E}"/>
            </c:ext>
          </c:extLst>
        </c:ser>
        <c:dLbls>
          <c:showLegendKey val="0"/>
          <c:showVal val="0"/>
          <c:showCatName val="0"/>
          <c:showSerName val="0"/>
          <c:showPercent val="0"/>
          <c:showBubbleSize val="0"/>
        </c:dLbls>
        <c:gapWidth val="75"/>
        <c:overlap val="-25"/>
        <c:axId val="429331256"/>
        <c:axId val="429331648"/>
      </c:barChart>
      <c:lineChart>
        <c:grouping val="standard"/>
        <c:varyColors val="0"/>
        <c:ser>
          <c:idx val="1"/>
          <c:order val="1"/>
          <c:tx>
            <c:v>Low</c:v>
          </c:tx>
          <c:spPr>
            <a:ln>
              <a:solidFill>
                <a:srgbClr val="FF000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Ranges!$C$22:$F$22</c:f>
              <c:numCache>
                <c:formatCode>"$"#,##0.00</c:formatCode>
                <c:ptCount val="4"/>
                <c:pt idx="0">
                  <c:v>100</c:v>
                </c:pt>
                <c:pt idx="1">
                  <c:v>100</c:v>
                </c:pt>
                <c:pt idx="2">
                  <c:v>100</c:v>
                </c:pt>
                <c:pt idx="3">
                  <c:v>100</c:v>
                </c:pt>
              </c:numCache>
            </c:numRef>
          </c:val>
          <c:smooth val="0"/>
          <c:extLst>
            <c:ext xmlns:c16="http://schemas.microsoft.com/office/drawing/2014/chart" uri="{C3380CC4-5D6E-409C-BE32-E72D297353CC}">
              <c16:uniqueId val="{00000001-8742-489E-BEF6-C372E5E8455E}"/>
            </c:ext>
          </c:extLst>
        </c:ser>
        <c:ser>
          <c:idx val="2"/>
          <c:order val="2"/>
          <c:tx>
            <c:v>Average</c:v>
          </c:tx>
          <c:spPr>
            <a:ln>
              <a:solidFill>
                <a:srgbClr val="FFFF0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Ranges!$C$23:$F$23</c:f>
              <c:numCache>
                <c:formatCode>"$"#,##0.00</c:formatCode>
                <c:ptCount val="4"/>
                <c:pt idx="0">
                  <c:v>120</c:v>
                </c:pt>
                <c:pt idx="1">
                  <c:v>120</c:v>
                </c:pt>
                <c:pt idx="2">
                  <c:v>120</c:v>
                </c:pt>
                <c:pt idx="3">
                  <c:v>120</c:v>
                </c:pt>
              </c:numCache>
            </c:numRef>
          </c:val>
          <c:smooth val="0"/>
          <c:extLst>
            <c:ext xmlns:c16="http://schemas.microsoft.com/office/drawing/2014/chart" uri="{C3380CC4-5D6E-409C-BE32-E72D297353CC}">
              <c16:uniqueId val="{00000002-8742-489E-BEF6-C372E5E8455E}"/>
            </c:ext>
          </c:extLst>
        </c:ser>
        <c:ser>
          <c:idx val="3"/>
          <c:order val="3"/>
          <c:tx>
            <c:v>High</c:v>
          </c:tx>
          <c:spPr>
            <a:ln>
              <a:solidFill>
                <a:srgbClr val="92D05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Ranges!$C$24:$F$24</c:f>
              <c:numCache>
                <c:formatCode>"$"#,##0.00</c:formatCode>
                <c:ptCount val="4"/>
                <c:pt idx="0">
                  <c:v>135</c:v>
                </c:pt>
                <c:pt idx="1">
                  <c:v>135</c:v>
                </c:pt>
                <c:pt idx="2">
                  <c:v>135</c:v>
                </c:pt>
                <c:pt idx="3">
                  <c:v>135</c:v>
                </c:pt>
              </c:numCache>
            </c:numRef>
          </c:val>
          <c:smooth val="0"/>
          <c:extLst>
            <c:ext xmlns:c16="http://schemas.microsoft.com/office/drawing/2014/chart" uri="{C3380CC4-5D6E-409C-BE32-E72D297353CC}">
              <c16:uniqueId val="{00000003-8742-489E-BEF6-C372E5E8455E}"/>
            </c:ext>
          </c:extLst>
        </c:ser>
        <c:dLbls>
          <c:showLegendKey val="0"/>
          <c:showVal val="0"/>
          <c:showCatName val="0"/>
          <c:showSerName val="0"/>
          <c:showPercent val="0"/>
          <c:showBubbleSize val="0"/>
        </c:dLbls>
        <c:marker val="1"/>
        <c:smooth val="0"/>
        <c:axId val="429331256"/>
        <c:axId val="429331648"/>
      </c:lineChart>
      <c:catAx>
        <c:axId val="429331256"/>
        <c:scaling>
          <c:orientation val="minMax"/>
        </c:scaling>
        <c:delete val="0"/>
        <c:axPos val="b"/>
        <c:numFmt formatCode="General" sourceLinked="0"/>
        <c:majorTickMark val="none"/>
        <c:minorTickMark val="none"/>
        <c:tickLblPos val="nextTo"/>
        <c:crossAx val="429331648"/>
        <c:crosses val="autoZero"/>
        <c:auto val="1"/>
        <c:lblAlgn val="ctr"/>
        <c:lblOffset val="100"/>
        <c:noMultiLvlLbl val="0"/>
      </c:catAx>
      <c:valAx>
        <c:axId val="429331648"/>
        <c:scaling>
          <c:orientation val="minMax"/>
        </c:scaling>
        <c:delete val="0"/>
        <c:axPos val="l"/>
        <c:majorGridlines/>
        <c:numFmt formatCode="&quot;$&quot;#,##0.00" sourceLinked="1"/>
        <c:majorTickMark val="none"/>
        <c:minorTickMark val="none"/>
        <c:tickLblPos val="nextTo"/>
        <c:spPr>
          <a:ln w="9525">
            <a:noFill/>
          </a:ln>
        </c:spPr>
        <c:crossAx val="429331256"/>
        <c:crosses val="autoZero"/>
        <c:crossBetween val="between"/>
      </c:valAx>
    </c:plotArea>
    <c:plotVisOnly val="1"/>
    <c:dispBlanksAs val="zero"/>
    <c:showDLblsOverMax val="0"/>
  </c:chart>
  <c:printSettings>
    <c:headerFooter/>
    <c:pageMargins b="0.75000000000000056" l="0.70000000000000051" r="0.70000000000000051" t="0.75000000000000056" header="0.30000000000000027" footer="0.30000000000000027"/>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Average MRR</a:t>
            </a:r>
          </a:p>
        </c:rich>
      </c:tx>
      <c:overlay val="0"/>
    </c:title>
    <c:autoTitleDeleted val="0"/>
    <c:plotArea>
      <c:layout/>
      <c:barChart>
        <c:barDir val="col"/>
        <c:grouping val="clustered"/>
        <c:varyColors val="0"/>
        <c:ser>
          <c:idx val="0"/>
          <c:order val="0"/>
          <c:tx>
            <c:strRef>
              <c:f>SmartNumbers2025!$A$25</c:f>
              <c:strCache>
                <c:ptCount val="1"/>
                <c:pt idx="0">
                  <c:v>Average MRR</c:v>
                </c:pt>
              </c:strCache>
            </c:strRef>
          </c:tx>
          <c:invertIfNegative val="0"/>
          <c:cat>
            <c:strRef>
              <c:f>'SmartNumbers2024-2025'!$F$6:$I$6</c:f>
              <c:strCache>
                <c:ptCount val="4"/>
                <c:pt idx="0">
                  <c:v>Q1 2025</c:v>
                </c:pt>
                <c:pt idx="1">
                  <c:v>Q2 2025</c:v>
                </c:pt>
                <c:pt idx="2">
                  <c:v>Q3 2025</c:v>
                </c:pt>
                <c:pt idx="3">
                  <c:v>Q4 2025</c:v>
                </c:pt>
              </c:strCache>
            </c:strRef>
          </c:cat>
          <c:val>
            <c:numRef>
              <c:f>SmartNumbers2025!$B$25:$E$25</c:f>
              <c:numCache>
                <c:formatCode>"$"#,##0.00</c:formatCode>
                <c:ptCount val="4"/>
                <c:pt idx="0">
                  <c:v>3027.1519266055043</c:v>
                </c:pt>
                <c:pt idx="1">
                  <c:v>3033.8660176991148</c:v>
                </c:pt>
                <c:pt idx="2">
                  <c:v>2900.3868141592925</c:v>
                </c:pt>
                <c:pt idx="3">
                  <c:v>0</c:v>
                </c:pt>
              </c:numCache>
            </c:numRef>
          </c:val>
          <c:extLst>
            <c:ext xmlns:c16="http://schemas.microsoft.com/office/drawing/2014/chart" uri="{C3380CC4-5D6E-409C-BE32-E72D297353CC}">
              <c16:uniqueId val="{00000000-27DF-4884-911D-A8608E5B17FF}"/>
            </c:ext>
          </c:extLst>
        </c:ser>
        <c:dLbls>
          <c:showLegendKey val="0"/>
          <c:showVal val="0"/>
          <c:showCatName val="0"/>
          <c:showSerName val="0"/>
          <c:showPercent val="0"/>
          <c:showBubbleSize val="0"/>
        </c:dLbls>
        <c:gapWidth val="75"/>
        <c:overlap val="-25"/>
        <c:axId val="429088800"/>
        <c:axId val="429089192"/>
      </c:barChart>
      <c:lineChart>
        <c:grouping val="standard"/>
        <c:varyColors val="0"/>
        <c:ser>
          <c:idx val="1"/>
          <c:order val="1"/>
          <c:tx>
            <c:v>Low</c:v>
          </c:tx>
          <c:spPr>
            <a:ln>
              <a:solidFill>
                <a:srgbClr val="FF000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Ranges!$C$26:$F$26</c:f>
              <c:numCache>
                <c:formatCode>"$"#,##0.00</c:formatCode>
                <c:ptCount val="4"/>
                <c:pt idx="0">
                  <c:v>1800</c:v>
                </c:pt>
                <c:pt idx="1">
                  <c:v>1800</c:v>
                </c:pt>
                <c:pt idx="2">
                  <c:v>1800</c:v>
                </c:pt>
                <c:pt idx="3">
                  <c:v>1800</c:v>
                </c:pt>
              </c:numCache>
            </c:numRef>
          </c:val>
          <c:smooth val="0"/>
          <c:extLst>
            <c:ext xmlns:c16="http://schemas.microsoft.com/office/drawing/2014/chart" uri="{C3380CC4-5D6E-409C-BE32-E72D297353CC}">
              <c16:uniqueId val="{00000001-27DF-4884-911D-A8608E5B17FF}"/>
            </c:ext>
          </c:extLst>
        </c:ser>
        <c:ser>
          <c:idx val="2"/>
          <c:order val="2"/>
          <c:tx>
            <c:v>Average</c:v>
          </c:tx>
          <c:spPr>
            <a:ln>
              <a:solidFill>
                <a:srgbClr val="FFFF0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Ranges!$C$27:$F$27</c:f>
              <c:numCache>
                <c:formatCode>"$"#,##0.00</c:formatCode>
                <c:ptCount val="4"/>
                <c:pt idx="0">
                  <c:v>2500</c:v>
                </c:pt>
                <c:pt idx="1">
                  <c:v>2500</c:v>
                </c:pt>
                <c:pt idx="2">
                  <c:v>2500</c:v>
                </c:pt>
                <c:pt idx="3">
                  <c:v>2500</c:v>
                </c:pt>
              </c:numCache>
            </c:numRef>
          </c:val>
          <c:smooth val="0"/>
          <c:extLst>
            <c:ext xmlns:c16="http://schemas.microsoft.com/office/drawing/2014/chart" uri="{C3380CC4-5D6E-409C-BE32-E72D297353CC}">
              <c16:uniqueId val="{00000002-27DF-4884-911D-A8608E5B17FF}"/>
            </c:ext>
          </c:extLst>
        </c:ser>
        <c:ser>
          <c:idx val="3"/>
          <c:order val="3"/>
          <c:tx>
            <c:v>High</c:v>
          </c:tx>
          <c:spPr>
            <a:ln>
              <a:solidFill>
                <a:srgbClr val="92D05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Ranges!$C$28:$F$28</c:f>
              <c:numCache>
                <c:formatCode>"$"#,##0.00</c:formatCode>
                <c:ptCount val="4"/>
                <c:pt idx="0">
                  <c:v>3000</c:v>
                </c:pt>
                <c:pt idx="1">
                  <c:v>3000</c:v>
                </c:pt>
                <c:pt idx="2">
                  <c:v>3000</c:v>
                </c:pt>
                <c:pt idx="3">
                  <c:v>3000</c:v>
                </c:pt>
              </c:numCache>
            </c:numRef>
          </c:val>
          <c:smooth val="0"/>
          <c:extLst>
            <c:ext xmlns:c16="http://schemas.microsoft.com/office/drawing/2014/chart" uri="{C3380CC4-5D6E-409C-BE32-E72D297353CC}">
              <c16:uniqueId val="{00000003-27DF-4884-911D-A8608E5B17FF}"/>
            </c:ext>
          </c:extLst>
        </c:ser>
        <c:dLbls>
          <c:showLegendKey val="0"/>
          <c:showVal val="0"/>
          <c:showCatName val="0"/>
          <c:showSerName val="0"/>
          <c:showPercent val="0"/>
          <c:showBubbleSize val="0"/>
        </c:dLbls>
        <c:marker val="1"/>
        <c:smooth val="0"/>
        <c:axId val="429088800"/>
        <c:axId val="429089192"/>
      </c:lineChart>
      <c:catAx>
        <c:axId val="429088800"/>
        <c:scaling>
          <c:orientation val="minMax"/>
        </c:scaling>
        <c:delete val="0"/>
        <c:axPos val="b"/>
        <c:numFmt formatCode="General" sourceLinked="0"/>
        <c:majorTickMark val="none"/>
        <c:minorTickMark val="none"/>
        <c:tickLblPos val="nextTo"/>
        <c:crossAx val="429089192"/>
        <c:crosses val="autoZero"/>
        <c:auto val="1"/>
        <c:lblAlgn val="ctr"/>
        <c:lblOffset val="100"/>
        <c:noMultiLvlLbl val="0"/>
      </c:catAx>
      <c:valAx>
        <c:axId val="429089192"/>
        <c:scaling>
          <c:orientation val="minMax"/>
        </c:scaling>
        <c:delete val="0"/>
        <c:axPos val="l"/>
        <c:majorGridlines/>
        <c:numFmt formatCode="&quot;$&quot;#,##0.00" sourceLinked="1"/>
        <c:majorTickMark val="none"/>
        <c:minorTickMark val="none"/>
        <c:tickLblPos val="nextTo"/>
        <c:spPr>
          <a:ln w="9525">
            <a:noFill/>
          </a:ln>
        </c:spPr>
        <c:crossAx val="429088800"/>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 of Dials</a:t>
            </a:r>
            <a:r>
              <a:rPr lang="en-US" baseline="0"/>
              <a:t> / Appointment</a:t>
            </a:r>
            <a:endParaRPr lang="en-US"/>
          </a:p>
        </c:rich>
      </c:tx>
      <c:overlay val="0"/>
    </c:title>
    <c:autoTitleDeleted val="0"/>
    <c:plotArea>
      <c:layout/>
      <c:barChart>
        <c:barDir val="col"/>
        <c:grouping val="clustered"/>
        <c:varyColors val="0"/>
        <c:ser>
          <c:idx val="0"/>
          <c:order val="0"/>
          <c:tx>
            <c:strRef>
              <c:f>SmartNumbers2025!$A$31</c:f>
              <c:strCache>
                <c:ptCount val="1"/>
                <c:pt idx="0">
                  <c:v># of dials / appointment</c:v>
                </c:pt>
              </c:strCache>
            </c:strRef>
          </c:tx>
          <c:invertIfNegative val="0"/>
          <c:cat>
            <c:strRef>
              <c:f>'SmartNumbers2024-2025'!$F$6:$I$6</c:f>
              <c:strCache>
                <c:ptCount val="4"/>
                <c:pt idx="0">
                  <c:v>Q1 2025</c:v>
                </c:pt>
                <c:pt idx="1">
                  <c:v>Q2 2025</c:v>
                </c:pt>
                <c:pt idx="2">
                  <c:v>Q3 2025</c:v>
                </c:pt>
                <c:pt idx="3">
                  <c:v>Q4 2025</c:v>
                </c:pt>
              </c:strCache>
            </c:strRef>
          </c:cat>
          <c:val>
            <c:numRef>
              <c:f>SmartNumbers2025!$B$31:$E$31</c:f>
              <c:numCache>
                <c:formatCode>0</c:formatCode>
                <c:ptCount val="4"/>
                <c:pt idx="0">
                  <c:v>0</c:v>
                </c:pt>
                <c:pt idx="1">
                  <c:v>0</c:v>
                </c:pt>
                <c:pt idx="2">
                  <c:v>0</c:v>
                </c:pt>
                <c:pt idx="3" formatCode="General">
                  <c:v>0</c:v>
                </c:pt>
              </c:numCache>
            </c:numRef>
          </c:val>
          <c:extLst>
            <c:ext xmlns:c16="http://schemas.microsoft.com/office/drawing/2014/chart" uri="{C3380CC4-5D6E-409C-BE32-E72D297353CC}">
              <c16:uniqueId val="{00000000-5B3E-4CB5-B11A-426B2E30E210}"/>
            </c:ext>
          </c:extLst>
        </c:ser>
        <c:dLbls>
          <c:showLegendKey val="0"/>
          <c:showVal val="0"/>
          <c:showCatName val="0"/>
          <c:showSerName val="0"/>
          <c:showPercent val="0"/>
          <c:showBubbleSize val="0"/>
        </c:dLbls>
        <c:gapWidth val="75"/>
        <c:overlap val="-25"/>
        <c:axId val="429089976"/>
        <c:axId val="429090368"/>
      </c:barChart>
      <c:lineChart>
        <c:grouping val="standard"/>
        <c:varyColors val="0"/>
        <c:ser>
          <c:idx val="1"/>
          <c:order val="1"/>
          <c:tx>
            <c:v>Low</c:v>
          </c:tx>
          <c:spPr>
            <a:ln>
              <a:solidFill>
                <a:srgbClr val="92D05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Ranges!$C$30:$F$30</c:f>
              <c:numCache>
                <c:formatCode>General</c:formatCode>
                <c:ptCount val="4"/>
                <c:pt idx="0">
                  <c:v>70</c:v>
                </c:pt>
                <c:pt idx="1">
                  <c:v>70</c:v>
                </c:pt>
                <c:pt idx="2">
                  <c:v>70</c:v>
                </c:pt>
                <c:pt idx="3">
                  <c:v>70</c:v>
                </c:pt>
              </c:numCache>
            </c:numRef>
          </c:val>
          <c:smooth val="0"/>
          <c:extLst>
            <c:ext xmlns:c16="http://schemas.microsoft.com/office/drawing/2014/chart" uri="{C3380CC4-5D6E-409C-BE32-E72D297353CC}">
              <c16:uniqueId val="{00000001-5B3E-4CB5-B11A-426B2E30E210}"/>
            </c:ext>
          </c:extLst>
        </c:ser>
        <c:ser>
          <c:idx val="2"/>
          <c:order val="2"/>
          <c:tx>
            <c:v>Average</c:v>
          </c:tx>
          <c:spPr>
            <a:ln>
              <a:solidFill>
                <a:srgbClr val="FFFF0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Ranges!$C$31:$F$31</c:f>
              <c:numCache>
                <c:formatCode>General</c:formatCode>
                <c:ptCount val="4"/>
                <c:pt idx="0">
                  <c:v>87</c:v>
                </c:pt>
                <c:pt idx="1">
                  <c:v>87</c:v>
                </c:pt>
                <c:pt idx="2">
                  <c:v>87</c:v>
                </c:pt>
                <c:pt idx="3">
                  <c:v>87</c:v>
                </c:pt>
              </c:numCache>
            </c:numRef>
          </c:val>
          <c:smooth val="0"/>
          <c:extLst>
            <c:ext xmlns:c16="http://schemas.microsoft.com/office/drawing/2014/chart" uri="{C3380CC4-5D6E-409C-BE32-E72D297353CC}">
              <c16:uniqueId val="{00000002-5B3E-4CB5-B11A-426B2E30E210}"/>
            </c:ext>
          </c:extLst>
        </c:ser>
        <c:ser>
          <c:idx val="3"/>
          <c:order val="3"/>
          <c:tx>
            <c:v>High</c:v>
          </c:tx>
          <c:spPr>
            <a:ln>
              <a:solidFill>
                <a:srgbClr val="FF000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Ranges!$C$32:$F$32</c:f>
              <c:numCache>
                <c:formatCode>General</c:formatCode>
                <c:ptCount val="4"/>
                <c:pt idx="0">
                  <c:v>115</c:v>
                </c:pt>
                <c:pt idx="1">
                  <c:v>115</c:v>
                </c:pt>
                <c:pt idx="2">
                  <c:v>115</c:v>
                </c:pt>
                <c:pt idx="3">
                  <c:v>115</c:v>
                </c:pt>
              </c:numCache>
            </c:numRef>
          </c:val>
          <c:smooth val="0"/>
          <c:extLst>
            <c:ext xmlns:c16="http://schemas.microsoft.com/office/drawing/2014/chart" uri="{C3380CC4-5D6E-409C-BE32-E72D297353CC}">
              <c16:uniqueId val="{00000003-5B3E-4CB5-B11A-426B2E30E210}"/>
            </c:ext>
          </c:extLst>
        </c:ser>
        <c:dLbls>
          <c:showLegendKey val="0"/>
          <c:showVal val="0"/>
          <c:showCatName val="0"/>
          <c:showSerName val="0"/>
          <c:showPercent val="0"/>
          <c:showBubbleSize val="0"/>
        </c:dLbls>
        <c:marker val="1"/>
        <c:smooth val="0"/>
        <c:axId val="429089976"/>
        <c:axId val="429090368"/>
      </c:lineChart>
      <c:catAx>
        <c:axId val="429089976"/>
        <c:scaling>
          <c:orientation val="minMax"/>
        </c:scaling>
        <c:delete val="0"/>
        <c:axPos val="b"/>
        <c:numFmt formatCode="General" sourceLinked="0"/>
        <c:majorTickMark val="none"/>
        <c:minorTickMark val="none"/>
        <c:tickLblPos val="nextTo"/>
        <c:crossAx val="429090368"/>
        <c:crosses val="autoZero"/>
        <c:auto val="1"/>
        <c:lblAlgn val="ctr"/>
        <c:lblOffset val="100"/>
        <c:noMultiLvlLbl val="0"/>
      </c:catAx>
      <c:valAx>
        <c:axId val="429090368"/>
        <c:scaling>
          <c:orientation val="minMax"/>
        </c:scaling>
        <c:delete val="0"/>
        <c:axPos val="l"/>
        <c:majorGridlines/>
        <c:numFmt formatCode="0" sourceLinked="1"/>
        <c:majorTickMark val="none"/>
        <c:minorTickMark val="none"/>
        <c:tickLblPos val="nextTo"/>
        <c:spPr>
          <a:ln w="9525">
            <a:noFill/>
          </a:ln>
        </c:spPr>
        <c:crossAx val="429089976"/>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SmartNumbers2025!$A$32</c:f>
              <c:strCache>
                <c:ptCount val="1"/>
                <c:pt idx="0">
                  <c:v># of first appointments</c:v>
                </c:pt>
              </c:strCache>
            </c:strRef>
          </c:tx>
          <c:invertIfNegative val="0"/>
          <c:cat>
            <c:strRef>
              <c:f>SmartNumbers2025!$B$6:$E$6</c:f>
              <c:strCache>
                <c:ptCount val="4"/>
                <c:pt idx="0">
                  <c:v>Q1 2025</c:v>
                </c:pt>
                <c:pt idx="1">
                  <c:v>Q2 2025</c:v>
                </c:pt>
                <c:pt idx="2">
                  <c:v>Q3 2025</c:v>
                </c:pt>
                <c:pt idx="3">
                  <c:v>Q4 2025</c:v>
                </c:pt>
              </c:strCache>
            </c:strRef>
          </c:cat>
          <c:val>
            <c:numRef>
              <c:f>SmartNumbers2025!$B$32:$E$32</c:f>
              <c:numCache>
                <c:formatCode>General</c:formatCode>
                <c:ptCount val="4"/>
                <c:pt idx="0" formatCode="0">
                  <c:v>0</c:v>
                </c:pt>
                <c:pt idx="1">
                  <c:v>3</c:v>
                </c:pt>
                <c:pt idx="2">
                  <c:v>4</c:v>
                </c:pt>
                <c:pt idx="3">
                  <c:v>3</c:v>
                </c:pt>
              </c:numCache>
            </c:numRef>
          </c:val>
          <c:extLst>
            <c:ext xmlns:c16="http://schemas.microsoft.com/office/drawing/2014/chart" uri="{C3380CC4-5D6E-409C-BE32-E72D297353CC}">
              <c16:uniqueId val="{00000000-A199-45FD-8E8E-1E8510B92EA6}"/>
            </c:ext>
          </c:extLst>
        </c:ser>
        <c:dLbls>
          <c:showLegendKey val="0"/>
          <c:showVal val="0"/>
          <c:showCatName val="0"/>
          <c:showSerName val="0"/>
          <c:showPercent val="0"/>
          <c:showBubbleSize val="0"/>
        </c:dLbls>
        <c:gapWidth val="75"/>
        <c:overlap val="-25"/>
        <c:axId val="429091152"/>
        <c:axId val="429091544"/>
      </c:barChart>
      <c:catAx>
        <c:axId val="429091152"/>
        <c:scaling>
          <c:orientation val="minMax"/>
        </c:scaling>
        <c:delete val="0"/>
        <c:axPos val="b"/>
        <c:numFmt formatCode="General" sourceLinked="0"/>
        <c:majorTickMark val="none"/>
        <c:minorTickMark val="none"/>
        <c:tickLblPos val="nextTo"/>
        <c:crossAx val="429091544"/>
        <c:crosses val="autoZero"/>
        <c:auto val="1"/>
        <c:lblAlgn val="ctr"/>
        <c:lblOffset val="100"/>
        <c:noMultiLvlLbl val="0"/>
      </c:catAx>
      <c:valAx>
        <c:axId val="429091544"/>
        <c:scaling>
          <c:orientation val="minMax"/>
        </c:scaling>
        <c:delete val="0"/>
        <c:axPos val="l"/>
        <c:majorGridlines/>
        <c:numFmt formatCode="0" sourceLinked="1"/>
        <c:majorTickMark val="none"/>
        <c:minorTickMark val="none"/>
        <c:tickLblPos val="nextTo"/>
        <c:spPr>
          <a:ln w="9525">
            <a:noFill/>
          </a:ln>
        </c:spPr>
        <c:crossAx val="429091152"/>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Sales Call Close %</a:t>
            </a:r>
          </a:p>
        </c:rich>
      </c:tx>
      <c:overlay val="0"/>
    </c:title>
    <c:autoTitleDeleted val="0"/>
    <c:plotArea>
      <c:layout/>
      <c:barChart>
        <c:barDir val="col"/>
        <c:grouping val="clustered"/>
        <c:varyColors val="0"/>
        <c:ser>
          <c:idx val="0"/>
          <c:order val="0"/>
          <c:tx>
            <c:strRef>
              <c:f>SmartNumbers2025!$A$33</c:f>
              <c:strCache>
                <c:ptCount val="1"/>
                <c:pt idx="0">
                  <c:v>Sales Call Close %</c:v>
                </c:pt>
              </c:strCache>
            </c:strRef>
          </c:tx>
          <c:invertIfNegative val="0"/>
          <c:cat>
            <c:strRef>
              <c:f>'SmartNumbers2024-2025'!$F$6:$I$6</c:f>
              <c:strCache>
                <c:ptCount val="4"/>
                <c:pt idx="0">
                  <c:v>Q1 2025</c:v>
                </c:pt>
                <c:pt idx="1">
                  <c:v>Q2 2025</c:v>
                </c:pt>
                <c:pt idx="2">
                  <c:v>Q3 2025</c:v>
                </c:pt>
                <c:pt idx="3">
                  <c:v>Q4 2025</c:v>
                </c:pt>
              </c:strCache>
            </c:strRef>
          </c:cat>
          <c:val>
            <c:numRef>
              <c:f>SmartNumbers2025!$B$33:$E$33</c:f>
              <c:numCache>
                <c:formatCode>0%</c:formatCode>
                <c:ptCount val="4"/>
                <c:pt idx="0">
                  <c:v>0</c:v>
                </c:pt>
                <c:pt idx="1">
                  <c:v>1</c:v>
                </c:pt>
                <c:pt idx="2">
                  <c:v>0.5</c:v>
                </c:pt>
                <c:pt idx="3">
                  <c:v>0</c:v>
                </c:pt>
              </c:numCache>
            </c:numRef>
          </c:val>
          <c:extLst>
            <c:ext xmlns:c16="http://schemas.microsoft.com/office/drawing/2014/chart" uri="{C3380CC4-5D6E-409C-BE32-E72D297353CC}">
              <c16:uniqueId val="{00000000-5E14-429A-A6E0-4CEAE6E1E79E}"/>
            </c:ext>
          </c:extLst>
        </c:ser>
        <c:dLbls>
          <c:showLegendKey val="0"/>
          <c:showVal val="0"/>
          <c:showCatName val="0"/>
          <c:showSerName val="0"/>
          <c:showPercent val="0"/>
          <c:showBubbleSize val="0"/>
        </c:dLbls>
        <c:gapWidth val="75"/>
        <c:overlap val="-25"/>
        <c:axId val="429092328"/>
        <c:axId val="429289520"/>
      </c:barChart>
      <c:lineChart>
        <c:grouping val="standard"/>
        <c:varyColors val="0"/>
        <c:ser>
          <c:idx val="1"/>
          <c:order val="1"/>
          <c:tx>
            <c:v>Low</c:v>
          </c:tx>
          <c:spPr>
            <a:ln>
              <a:solidFill>
                <a:srgbClr val="FF000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Ranges!$C$34:$F$34</c:f>
              <c:numCache>
                <c:formatCode>0%</c:formatCode>
                <c:ptCount val="4"/>
                <c:pt idx="0">
                  <c:v>0.15</c:v>
                </c:pt>
                <c:pt idx="1">
                  <c:v>0.15</c:v>
                </c:pt>
                <c:pt idx="2">
                  <c:v>0.15</c:v>
                </c:pt>
                <c:pt idx="3">
                  <c:v>0.15</c:v>
                </c:pt>
              </c:numCache>
            </c:numRef>
          </c:val>
          <c:smooth val="0"/>
          <c:extLst>
            <c:ext xmlns:c16="http://schemas.microsoft.com/office/drawing/2014/chart" uri="{C3380CC4-5D6E-409C-BE32-E72D297353CC}">
              <c16:uniqueId val="{00000001-5E14-429A-A6E0-4CEAE6E1E79E}"/>
            </c:ext>
          </c:extLst>
        </c:ser>
        <c:ser>
          <c:idx val="2"/>
          <c:order val="2"/>
          <c:tx>
            <c:v>Average</c:v>
          </c:tx>
          <c:spPr>
            <a:ln>
              <a:solidFill>
                <a:srgbClr val="FFFF0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Ranges!$C$35:$F$35</c:f>
              <c:numCache>
                <c:formatCode>0%</c:formatCode>
                <c:ptCount val="4"/>
                <c:pt idx="0">
                  <c:v>0.2</c:v>
                </c:pt>
                <c:pt idx="1">
                  <c:v>0.2</c:v>
                </c:pt>
                <c:pt idx="2">
                  <c:v>0.2</c:v>
                </c:pt>
                <c:pt idx="3">
                  <c:v>0.2</c:v>
                </c:pt>
              </c:numCache>
            </c:numRef>
          </c:val>
          <c:smooth val="0"/>
          <c:extLst>
            <c:ext xmlns:c16="http://schemas.microsoft.com/office/drawing/2014/chart" uri="{C3380CC4-5D6E-409C-BE32-E72D297353CC}">
              <c16:uniqueId val="{00000002-5E14-429A-A6E0-4CEAE6E1E79E}"/>
            </c:ext>
          </c:extLst>
        </c:ser>
        <c:ser>
          <c:idx val="3"/>
          <c:order val="3"/>
          <c:tx>
            <c:v>High</c:v>
          </c:tx>
          <c:spPr>
            <a:ln>
              <a:solidFill>
                <a:srgbClr val="92D05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Ranges!$C$36:$F$36</c:f>
              <c:numCache>
                <c:formatCode>0%</c:formatCode>
                <c:ptCount val="4"/>
                <c:pt idx="0">
                  <c:v>0.3</c:v>
                </c:pt>
                <c:pt idx="1">
                  <c:v>0.3</c:v>
                </c:pt>
                <c:pt idx="2">
                  <c:v>0.3</c:v>
                </c:pt>
                <c:pt idx="3">
                  <c:v>0.3</c:v>
                </c:pt>
              </c:numCache>
            </c:numRef>
          </c:val>
          <c:smooth val="0"/>
          <c:extLst>
            <c:ext xmlns:c16="http://schemas.microsoft.com/office/drawing/2014/chart" uri="{C3380CC4-5D6E-409C-BE32-E72D297353CC}">
              <c16:uniqueId val="{00000003-5E14-429A-A6E0-4CEAE6E1E79E}"/>
            </c:ext>
          </c:extLst>
        </c:ser>
        <c:dLbls>
          <c:showLegendKey val="0"/>
          <c:showVal val="0"/>
          <c:showCatName val="0"/>
          <c:showSerName val="0"/>
          <c:showPercent val="0"/>
          <c:showBubbleSize val="0"/>
        </c:dLbls>
        <c:marker val="1"/>
        <c:smooth val="0"/>
        <c:axId val="429092328"/>
        <c:axId val="429289520"/>
      </c:lineChart>
      <c:catAx>
        <c:axId val="429092328"/>
        <c:scaling>
          <c:orientation val="minMax"/>
        </c:scaling>
        <c:delete val="0"/>
        <c:axPos val="b"/>
        <c:numFmt formatCode="General" sourceLinked="0"/>
        <c:majorTickMark val="none"/>
        <c:minorTickMark val="none"/>
        <c:tickLblPos val="nextTo"/>
        <c:crossAx val="429289520"/>
        <c:crosses val="autoZero"/>
        <c:auto val="1"/>
        <c:lblAlgn val="ctr"/>
        <c:lblOffset val="100"/>
        <c:noMultiLvlLbl val="0"/>
      </c:catAx>
      <c:valAx>
        <c:axId val="429289520"/>
        <c:scaling>
          <c:orientation val="minMax"/>
        </c:scaling>
        <c:delete val="0"/>
        <c:axPos val="l"/>
        <c:majorGridlines/>
        <c:numFmt formatCode="0%" sourceLinked="1"/>
        <c:majorTickMark val="none"/>
        <c:minorTickMark val="none"/>
        <c:tickLblPos val="nextTo"/>
        <c:spPr>
          <a:ln w="9525">
            <a:noFill/>
          </a:ln>
        </c:spPr>
        <c:crossAx val="429092328"/>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Leverage/Employee</a:t>
            </a:r>
          </a:p>
        </c:rich>
      </c:tx>
      <c:overlay val="0"/>
    </c:title>
    <c:autoTitleDeleted val="0"/>
    <c:plotArea>
      <c:layout/>
      <c:barChart>
        <c:barDir val="col"/>
        <c:grouping val="clustered"/>
        <c:varyColors val="0"/>
        <c:ser>
          <c:idx val="0"/>
          <c:order val="0"/>
          <c:tx>
            <c:strRef>
              <c:f>SmartNumbers2025!$A$22</c:f>
              <c:strCache>
                <c:ptCount val="1"/>
                <c:pt idx="0">
                  <c:v>Annualized Service Revenue / Employee</c:v>
                </c:pt>
              </c:strCache>
            </c:strRef>
          </c:tx>
          <c:invertIfNegative val="0"/>
          <c:cat>
            <c:strRef>
              <c:f>'SmartNumbers2024-2025'!$F$6:$I$6</c:f>
              <c:strCache>
                <c:ptCount val="4"/>
                <c:pt idx="0">
                  <c:v>Q1 2025</c:v>
                </c:pt>
                <c:pt idx="1">
                  <c:v>Q2 2025</c:v>
                </c:pt>
                <c:pt idx="2">
                  <c:v>Q3 2025</c:v>
                </c:pt>
                <c:pt idx="3">
                  <c:v>Q4 2025</c:v>
                </c:pt>
              </c:strCache>
            </c:strRef>
          </c:cat>
          <c:val>
            <c:numRef>
              <c:f>SmartNumbers2025!$B$22:$E$22</c:f>
              <c:numCache>
                <c:formatCode>"$"#,##0.00</c:formatCode>
                <c:ptCount val="4"/>
                <c:pt idx="0">
                  <c:v>220817.96235294116</c:v>
                </c:pt>
                <c:pt idx="1">
                  <c:v>204723.32705882352</c:v>
                </c:pt>
                <c:pt idx="2">
                  <c:v>202289.38285714286</c:v>
                </c:pt>
                <c:pt idx="3">
                  <c:v>201653.54823529409</c:v>
                </c:pt>
              </c:numCache>
            </c:numRef>
          </c:val>
          <c:extLst>
            <c:ext xmlns:c16="http://schemas.microsoft.com/office/drawing/2014/chart" uri="{C3380CC4-5D6E-409C-BE32-E72D297353CC}">
              <c16:uniqueId val="{00000000-6A7C-40A7-828E-8E9A712C42E5}"/>
            </c:ext>
          </c:extLst>
        </c:ser>
        <c:dLbls>
          <c:showLegendKey val="0"/>
          <c:showVal val="0"/>
          <c:showCatName val="0"/>
          <c:showSerName val="0"/>
          <c:showPercent val="0"/>
          <c:showBubbleSize val="0"/>
        </c:dLbls>
        <c:gapWidth val="75"/>
        <c:overlap val="-25"/>
        <c:axId val="429290304"/>
        <c:axId val="429290696"/>
      </c:barChart>
      <c:lineChart>
        <c:grouping val="standard"/>
        <c:varyColors val="0"/>
        <c:ser>
          <c:idx val="1"/>
          <c:order val="1"/>
          <c:tx>
            <c:v>Low</c:v>
          </c:tx>
          <c:spPr>
            <a:ln>
              <a:solidFill>
                <a:srgbClr val="FF000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Ranges!$C$38:$F$38</c:f>
              <c:numCache>
                <c:formatCode>"$"#,##0.00</c:formatCode>
                <c:ptCount val="4"/>
                <c:pt idx="0">
                  <c:v>125000</c:v>
                </c:pt>
                <c:pt idx="1">
                  <c:v>125000</c:v>
                </c:pt>
                <c:pt idx="2">
                  <c:v>125000</c:v>
                </c:pt>
                <c:pt idx="3">
                  <c:v>125000</c:v>
                </c:pt>
              </c:numCache>
            </c:numRef>
          </c:val>
          <c:smooth val="0"/>
          <c:extLst>
            <c:ext xmlns:c16="http://schemas.microsoft.com/office/drawing/2014/chart" uri="{C3380CC4-5D6E-409C-BE32-E72D297353CC}">
              <c16:uniqueId val="{00000001-6A7C-40A7-828E-8E9A712C42E5}"/>
            </c:ext>
          </c:extLst>
        </c:ser>
        <c:ser>
          <c:idx val="2"/>
          <c:order val="2"/>
          <c:tx>
            <c:v>Average</c:v>
          </c:tx>
          <c:spPr>
            <a:ln>
              <a:solidFill>
                <a:srgbClr val="FFFF0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Ranges!$C$39:$F$39</c:f>
              <c:numCache>
                <c:formatCode>"$"#,##0.00</c:formatCode>
                <c:ptCount val="4"/>
                <c:pt idx="0">
                  <c:v>150000</c:v>
                </c:pt>
                <c:pt idx="1">
                  <c:v>150000</c:v>
                </c:pt>
                <c:pt idx="2">
                  <c:v>150000</c:v>
                </c:pt>
                <c:pt idx="3">
                  <c:v>150000</c:v>
                </c:pt>
              </c:numCache>
            </c:numRef>
          </c:val>
          <c:smooth val="0"/>
          <c:extLst>
            <c:ext xmlns:c16="http://schemas.microsoft.com/office/drawing/2014/chart" uri="{C3380CC4-5D6E-409C-BE32-E72D297353CC}">
              <c16:uniqueId val="{00000002-6A7C-40A7-828E-8E9A712C42E5}"/>
            </c:ext>
          </c:extLst>
        </c:ser>
        <c:ser>
          <c:idx val="3"/>
          <c:order val="3"/>
          <c:tx>
            <c:v>High</c:v>
          </c:tx>
          <c:spPr>
            <a:ln>
              <a:solidFill>
                <a:srgbClr val="92D05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Ranges!$C$40:$F$40</c:f>
              <c:numCache>
                <c:formatCode>"$"#,##0.00</c:formatCode>
                <c:ptCount val="4"/>
                <c:pt idx="0">
                  <c:v>175000</c:v>
                </c:pt>
                <c:pt idx="1">
                  <c:v>175000</c:v>
                </c:pt>
                <c:pt idx="2">
                  <c:v>175000</c:v>
                </c:pt>
                <c:pt idx="3">
                  <c:v>175000</c:v>
                </c:pt>
              </c:numCache>
            </c:numRef>
          </c:val>
          <c:smooth val="0"/>
          <c:extLst>
            <c:ext xmlns:c16="http://schemas.microsoft.com/office/drawing/2014/chart" uri="{C3380CC4-5D6E-409C-BE32-E72D297353CC}">
              <c16:uniqueId val="{00000003-6A7C-40A7-828E-8E9A712C42E5}"/>
            </c:ext>
          </c:extLst>
        </c:ser>
        <c:dLbls>
          <c:showLegendKey val="0"/>
          <c:showVal val="0"/>
          <c:showCatName val="0"/>
          <c:showSerName val="0"/>
          <c:showPercent val="0"/>
          <c:showBubbleSize val="0"/>
        </c:dLbls>
        <c:marker val="1"/>
        <c:smooth val="0"/>
        <c:axId val="429290304"/>
        <c:axId val="429290696"/>
      </c:lineChart>
      <c:catAx>
        <c:axId val="429290304"/>
        <c:scaling>
          <c:orientation val="minMax"/>
        </c:scaling>
        <c:delete val="0"/>
        <c:axPos val="b"/>
        <c:numFmt formatCode="General" sourceLinked="0"/>
        <c:majorTickMark val="none"/>
        <c:minorTickMark val="none"/>
        <c:tickLblPos val="nextTo"/>
        <c:crossAx val="429290696"/>
        <c:crosses val="autoZero"/>
        <c:auto val="1"/>
        <c:lblAlgn val="ctr"/>
        <c:lblOffset val="100"/>
        <c:noMultiLvlLbl val="0"/>
      </c:catAx>
      <c:valAx>
        <c:axId val="429290696"/>
        <c:scaling>
          <c:orientation val="minMax"/>
        </c:scaling>
        <c:delete val="0"/>
        <c:axPos val="l"/>
        <c:majorGridlines/>
        <c:numFmt formatCode="&quot;$&quot;#,##0.00" sourceLinked="1"/>
        <c:majorTickMark val="none"/>
        <c:minorTickMark val="none"/>
        <c:tickLblPos val="nextTo"/>
        <c:spPr>
          <a:ln w="9525">
            <a:noFill/>
          </a:ln>
        </c:spPr>
        <c:crossAx val="429290304"/>
        <c:crosses val="autoZero"/>
        <c:crossBetween val="between"/>
      </c:valAx>
    </c:plotArea>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Leverage / Engineer</a:t>
            </a:r>
          </a:p>
        </c:rich>
      </c:tx>
      <c:overlay val="0"/>
    </c:title>
    <c:autoTitleDeleted val="0"/>
    <c:plotArea>
      <c:layout/>
      <c:barChart>
        <c:barDir val="col"/>
        <c:grouping val="clustered"/>
        <c:varyColors val="0"/>
        <c:ser>
          <c:idx val="0"/>
          <c:order val="0"/>
          <c:tx>
            <c:strRef>
              <c:f>'SmartNumbers2024-2025'!$A$23</c:f>
              <c:strCache>
                <c:ptCount val="1"/>
                <c:pt idx="0">
                  <c:v>Annualized Service Revenue / Technical Employee</c:v>
                </c:pt>
              </c:strCache>
            </c:strRef>
          </c:tx>
          <c:invertIfNegative val="0"/>
          <c:cat>
            <c:strRef>
              <c:f>'SmartNumbers2024-2025'!$F$6:$I$6</c:f>
              <c:strCache>
                <c:ptCount val="4"/>
                <c:pt idx="0">
                  <c:v>Q1 2025</c:v>
                </c:pt>
                <c:pt idx="1">
                  <c:v>Q2 2025</c:v>
                </c:pt>
                <c:pt idx="2">
                  <c:v>Q3 2025</c:v>
                </c:pt>
                <c:pt idx="3">
                  <c:v>Q4 2025</c:v>
                </c:pt>
              </c:strCache>
            </c:strRef>
          </c:cat>
          <c:val>
            <c:numRef>
              <c:f>SmartNumbers2025!$B$23:$E$23</c:f>
              <c:numCache>
                <c:formatCode>"$"#,##0.00</c:formatCode>
                <c:ptCount val="4"/>
                <c:pt idx="0">
                  <c:v>341264.1236363636</c:v>
                </c:pt>
                <c:pt idx="1">
                  <c:v>256130.15999999997</c:v>
                </c:pt>
                <c:pt idx="2">
                  <c:v>275476.61419354839</c:v>
                </c:pt>
                <c:pt idx="3">
                  <c:v>284708.2690909091</c:v>
                </c:pt>
              </c:numCache>
            </c:numRef>
          </c:val>
          <c:extLst>
            <c:ext xmlns:c16="http://schemas.microsoft.com/office/drawing/2014/chart" uri="{C3380CC4-5D6E-409C-BE32-E72D297353CC}">
              <c16:uniqueId val="{00000000-A96E-44AF-A63D-5B50EE662DB2}"/>
            </c:ext>
          </c:extLst>
        </c:ser>
        <c:dLbls>
          <c:showLegendKey val="0"/>
          <c:showVal val="0"/>
          <c:showCatName val="0"/>
          <c:showSerName val="0"/>
          <c:showPercent val="0"/>
          <c:showBubbleSize val="0"/>
        </c:dLbls>
        <c:gapWidth val="75"/>
        <c:overlap val="-25"/>
        <c:axId val="429291480"/>
        <c:axId val="429291872"/>
      </c:barChart>
      <c:lineChart>
        <c:grouping val="standard"/>
        <c:varyColors val="0"/>
        <c:ser>
          <c:idx val="1"/>
          <c:order val="1"/>
          <c:tx>
            <c:v>Low</c:v>
          </c:tx>
          <c:spPr>
            <a:ln>
              <a:solidFill>
                <a:srgbClr val="FF000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Ranges!$C$42:$F$42</c:f>
              <c:numCache>
                <c:formatCode>"$"#,##0.00</c:formatCode>
                <c:ptCount val="4"/>
                <c:pt idx="0">
                  <c:v>180000</c:v>
                </c:pt>
                <c:pt idx="1">
                  <c:v>180000</c:v>
                </c:pt>
                <c:pt idx="2">
                  <c:v>180000</c:v>
                </c:pt>
                <c:pt idx="3">
                  <c:v>180000</c:v>
                </c:pt>
              </c:numCache>
            </c:numRef>
          </c:val>
          <c:smooth val="0"/>
          <c:extLst>
            <c:ext xmlns:c16="http://schemas.microsoft.com/office/drawing/2014/chart" uri="{C3380CC4-5D6E-409C-BE32-E72D297353CC}">
              <c16:uniqueId val="{00000001-A96E-44AF-A63D-5B50EE662DB2}"/>
            </c:ext>
          </c:extLst>
        </c:ser>
        <c:ser>
          <c:idx val="2"/>
          <c:order val="2"/>
          <c:tx>
            <c:v>Average</c:v>
          </c:tx>
          <c:spPr>
            <a:ln>
              <a:solidFill>
                <a:srgbClr val="FFFF0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Ranges!$C$43:$F$43</c:f>
              <c:numCache>
                <c:formatCode>"$"#,##0.00</c:formatCode>
                <c:ptCount val="4"/>
                <c:pt idx="0">
                  <c:v>250000</c:v>
                </c:pt>
                <c:pt idx="1">
                  <c:v>250000</c:v>
                </c:pt>
                <c:pt idx="2">
                  <c:v>250000</c:v>
                </c:pt>
                <c:pt idx="3">
                  <c:v>250000</c:v>
                </c:pt>
              </c:numCache>
            </c:numRef>
          </c:val>
          <c:smooth val="0"/>
          <c:extLst>
            <c:ext xmlns:c16="http://schemas.microsoft.com/office/drawing/2014/chart" uri="{C3380CC4-5D6E-409C-BE32-E72D297353CC}">
              <c16:uniqueId val="{00000002-A96E-44AF-A63D-5B50EE662DB2}"/>
            </c:ext>
          </c:extLst>
        </c:ser>
        <c:ser>
          <c:idx val="3"/>
          <c:order val="3"/>
          <c:tx>
            <c:v>High</c:v>
          </c:tx>
          <c:spPr>
            <a:ln>
              <a:solidFill>
                <a:srgbClr val="92D05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Ranges!$C$44:$F$44</c:f>
              <c:numCache>
                <c:formatCode>"$"#,##0.00</c:formatCode>
                <c:ptCount val="4"/>
                <c:pt idx="0">
                  <c:v>300000</c:v>
                </c:pt>
                <c:pt idx="1">
                  <c:v>300000</c:v>
                </c:pt>
                <c:pt idx="2">
                  <c:v>300000</c:v>
                </c:pt>
                <c:pt idx="3">
                  <c:v>300000</c:v>
                </c:pt>
              </c:numCache>
            </c:numRef>
          </c:val>
          <c:smooth val="0"/>
          <c:extLst>
            <c:ext xmlns:c16="http://schemas.microsoft.com/office/drawing/2014/chart" uri="{C3380CC4-5D6E-409C-BE32-E72D297353CC}">
              <c16:uniqueId val="{00000003-A96E-44AF-A63D-5B50EE662DB2}"/>
            </c:ext>
          </c:extLst>
        </c:ser>
        <c:dLbls>
          <c:showLegendKey val="0"/>
          <c:showVal val="0"/>
          <c:showCatName val="0"/>
          <c:showSerName val="0"/>
          <c:showPercent val="0"/>
          <c:showBubbleSize val="0"/>
        </c:dLbls>
        <c:marker val="1"/>
        <c:smooth val="0"/>
        <c:axId val="429291480"/>
        <c:axId val="429291872"/>
      </c:lineChart>
      <c:catAx>
        <c:axId val="429291480"/>
        <c:scaling>
          <c:orientation val="minMax"/>
        </c:scaling>
        <c:delete val="0"/>
        <c:axPos val="b"/>
        <c:numFmt formatCode="General" sourceLinked="0"/>
        <c:majorTickMark val="none"/>
        <c:minorTickMark val="none"/>
        <c:tickLblPos val="nextTo"/>
        <c:crossAx val="429291872"/>
        <c:crosses val="autoZero"/>
        <c:auto val="1"/>
        <c:lblAlgn val="ctr"/>
        <c:lblOffset val="100"/>
        <c:noMultiLvlLbl val="0"/>
      </c:catAx>
      <c:valAx>
        <c:axId val="429291872"/>
        <c:scaling>
          <c:orientation val="minMax"/>
        </c:scaling>
        <c:delete val="0"/>
        <c:axPos val="l"/>
        <c:majorGridlines/>
        <c:numFmt formatCode="&quot;$&quot;#,##0.00" sourceLinked="1"/>
        <c:majorTickMark val="none"/>
        <c:minorTickMark val="none"/>
        <c:tickLblPos val="nextTo"/>
        <c:spPr>
          <a:ln w="9525">
            <a:noFill/>
          </a:ln>
        </c:spPr>
        <c:crossAx val="429291480"/>
        <c:crosses val="autoZero"/>
        <c:crossBetween val="between"/>
      </c:valAx>
    </c:plotArea>
    <c:plotVisOnly val="1"/>
    <c:dispBlanksAs val="gap"/>
    <c:showDLblsOverMax val="0"/>
  </c:chart>
  <c:printSettings>
    <c:headerFooter/>
    <c:pageMargins b="0.75000000000000033" l="0.70000000000000029" r="0.70000000000000029" t="0.75000000000000033" header="0.30000000000000016" footer="0.30000000000000016"/>
    <c:pageSetup orientation="landscape"/>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title>
    <c:autoTitleDeleted val="0"/>
    <c:plotArea>
      <c:layout/>
      <c:barChart>
        <c:barDir val="col"/>
        <c:grouping val="clustered"/>
        <c:varyColors val="0"/>
        <c:ser>
          <c:idx val="0"/>
          <c:order val="0"/>
          <c:tx>
            <c:strRef>
              <c:f>SmartNumbers2025!$A$30</c:f>
              <c:strCache>
                <c:ptCount val="1"/>
                <c:pt idx="0">
                  <c:v>Net MRR gain</c:v>
                </c:pt>
              </c:strCache>
            </c:strRef>
          </c:tx>
          <c:invertIfNegative val="0"/>
          <c:cat>
            <c:strRef>
              <c:f>'SmartNumbers2024-2025'!$F$6:$I$6</c:f>
              <c:strCache>
                <c:ptCount val="4"/>
                <c:pt idx="0">
                  <c:v>Q1 2025</c:v>
                </c:pt>
                <c:pt idx="1">
                  <c:v>Q2 2025</c:v>
                </c:pt>
                <c:pt idx="2">
                  <c:v>Q3 2025</c:v>
                </c:pt>
                <c:pt idx="3">
                  <c:v>Q4 2025</c:v>
                </c:pt>
              </c:strCache>
            </c:strRef>
          </c:cat>
          <c:val>
            <c:numRef>
              <c:f>SmartNumbers2025!$B$30:$E$30</c:f>
              <c:numCache>
                <c:formatCode>"$"#,##0.00</c:formatCode>
                <c:ptCount val="4"/>
                <c:pt idx="0">
                  <c:v>-182.4</c:v>
                </c:pt>
                <c:pt idx="1">
                  <c:v>548</c:v>
                </c:pt>
                <c:pt idx="2">
                  <c:v>-9987.08</c:v>
                </c:pt>
                <c:pt idx="3">
                  <c:v>0</c:v>
                </c:pt>
              </c:numCache>
            </c:numRef>
          </c:val>
          <c:extLst>
            <c:ext xmlns:c16="http://schemas.microsoft.com/office/drawing/2014/chart" uri="{C3380CC4-5D6E-409C-BE32-E72D297353CC}">
              <c16:uniqueId val="{00000000-B051-4FC3-ABC2-13E36D9AC7C7}"/>
            </c:ext>
          </c:extLst>
        </c:ser>
        <c:dLbls>
          <c:showLegendKey val="0"/>
          <c:showVal val="0"/>
          <c:showCatName val="0"/>
          <c:showSerName val="0"/>
          <c:showPercent val="0"/>
          <c:showBubbleSize val="0"/>
        </c:dLbls>
        <c:gapWidth val="75"/>
        <c:overlap val="-25"/>
        <c:axId val="429292656"/>
        <c:axId val="429293048"/>
      </c:barChart>
      <c:catAx>
        <c:axId val="429292656"/>
        <c:scaling>
          <c:orientation val="minMax"/>
        </c:scaling>
        <c:delete val="0"/>
        <c:axPos val="b"/>
        <c:numFmt formatCode="General" sourceLinked="0"/>
        <c:majorTickMark val="none"/>
        <c:minorTickMark val="none"/>
        <c:tickLblPos val="nextTo"/>
        <c:crossAx val="429293048"/>
        <c:crosses val="autoZero"/>
        <c:auto val="1"/>
        <c:lblAlgn val="ctr"/>
        <c:lblOffset val="100"/>
        <c:noMultiLvlLbl val="0"/>
      </c:catAx>
      <c:valAx>
        <c:axId val="429293048"/>
        <c:scaling>
          <c:orientation val="minMax"/>
        </c:scaling>
        <c:delete val="0"/>
        <c:axPos val="l"/>
        <c:majorGridlines/>
        <c:numFmt formatCode="&quot;$&quot;#,##0.00" sourceLinked="1"/>
        <c:majorTickMark val="none"/>
        <c:minorTickMark val="none"/>
        <c:tickLblPos val="nextTo"/>
        <c:crossAx val="429292656"/>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1"/>
          <c:order val="0"/>
          <c:tx>
            <c:strRef>
              <c:f>SmartNumbers2025byMonth!$A$8</c:f>
              <c:strCache>
                <c:ptCount val="1"/>
                <c:pt idx="0">
                  <c:v>Reactive Tickets / Tech / Month (closed)</c:v>
                </c:pt>
              </c:strCache>
            </c:strRef>
          </c:tx>
          <c:invertIfNegative val="0"/>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SmartNumbers2025byMonth!$B$8:$M$8</c:f>
              <c:numCache>
                <c:formatCode>0.00</c:formatCode>
                <c:ptCount val="12"/>
                <c:pt idx="0">
                  <c:v>64.545454545454547</c:v>
                </c:pt>
                <c:pt idx="1">
                  <c:v>53.454545454545453</c:v>
                </c:pt>
                <c:pt idx="2">
                  <c:v>78.36363636363636</c:v>
                </c:pt>
                <c:pt idx="3">
                  <c:v>67.818181818181813</c:v>
                </c:pt>
                <c:pt idx="4">
                  <c:v>70</c:v>
                </c:pt>
                <c:pt idx="5">
                  <c:v>86</c:v>
                </c:pt>
                <c:pt idx="6">
                  <c:v>99.818181818181813</c:v>
                </c:pt>
                <c:pt idx="7">
                  <c:v>44.727272727272727</c:v>
                </c:pt>
                <c:pt idx="8">
                  <c:v>64.666666666666671</c:v>
                </c:pt>
                <c:pt idx="9">
                  <c:v>64.36363636363636</c:v>
                </c:pt>
                <c:pt idx="10">
                  <c:v>0</c:v>
                </c:pt>
                <c:pt idx="11">
                  <c:v>0</c:v>
                </c:pt>
              </c:numCache>
            </c:numRef>
          </c:val>
          <c:extLst>
            <c:ext xmlns:c16="http://schemas.microsoft.com/office/drawing/2014/chart" uri="{C3380CC4-5D6E-409C-BE32-E72D297353CC}">
              <c16:uniqueId val="{00000000-5C0F-4C79-A156-2F8825373715}"/>
            </c:ext>
          </c:extLst>
        </c:ser>
        <c:dLbls>
          <c:showLegendKey val="0"/>
          <c:showVal val="0"/>
          <c:showCatName val="0"/>
          <c:showSerName val="0"/>
          <c:showPercent val="0"/>
          <c:showBubbleSize val="0"/>
        </c:dLbls>
        <c:gapWidth val="75"/>
        <c:overlap val="-25"/>
        <c:axId val="535174664"/>
        <c:axId val="535175056"/>
      </c:barChart>
      <c:catAx>
        <c:axId val="535174664"/>
        <c:scaling>
          <c:orientation val="minMax"/>
        </c:scaling>
        <c:delete val="0"/>
        <c:axPos val="b"/>
        <c:numFmt formatCode="General" sourceLinked="0"/>
        <c:majorTickMark val="none"/>
        <c:minorTickMark val="none"/>
        <c:tickLblPos val="nextTo"/>
        <c:crossAx val="535175056"/>
        <c:crosses val="autoZero"/>
        <c:auto val="1"/>
        <c:lblAlgn val="ctr"/>
        <c:lblOffset val="100"/>
        <c:noMultiLvlLbl val="0"/>
      </c:catAx>
      <c:valAx>
        <c:axId val="535175056"/>
        <c:scaling>
          <c:orientation val="minMax"/>
        </c:scaling>
        <c:delete val="0"/>
        <c:axPos val="l"/>
        <c:majorGridlines/>
        <c:numFmt formatCode="General" sourceLinked="0"/>
        <c:majorTickMark val="none"/>
        <c:minorTickMark val="none"/>
        <c:tickLblPos val="nextTo"/>
        <c:spPr>
          <a:ln w="9525">
            <a:noFill/>
          </a:ln>
        </c:spPr>
        <c:crossAx val="535174664"/>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SmartNumbers2025byMonth!$A$9</c:f>
              <c:strCache>
                <c:ptCount val="1"/>
                <c:pt idx="0">
                  <c:v>Total Close %</c:v>
                </c:pt>
              </c:strCache>
            </c:strRef>
          </c:tx>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SmartNumbers2025byMonth!$B$9:$M$9</c:f>
              <c:numCache>
                <c:formatCode>0.00%</c:formatCode>
                <c:ptCount val="12"/>
                <c:pt idx="0">
                  <c:v>1.0028248587570621</c:v>
                </c:pt>
                <c:pt idx="1">
                  <c:v>1</c:v>
                </c:pt>
                <c:pt idx="2">
                  <c:v>0.99538106235565815</c:v>
                </c:pt>
                <c:pt idx="3">
                  <c:v>0.98938992042440321</c:v>
                </c:pt>
                <c:pt idx="4">
                  <c:v>0.99740932642487046</c:v>
                </c:pt>
                <c:pt idx="5">
                  <c:v>0.9895397489539749</c:v>
                </c:pt>
                <c:pt idx="6">
                  <c:v>1.0129151291512914</c:v>
                </c:pt>
                <c:pt idx="7">
                  <c:v>0.98795180722891562</c:v>
                </c:pt>
                <c:pt idx="8">
                  <c:v>1.0069204152249136</c:v>
                </c:pt>
                <c:pt idx="9">
                  <c:v>0.98060941828254844</c:v>
                </c:pt>
                <c:pt idx="10">
                  <c:v>0</c:v>
                </c:pt>
                <c:pt idx="11">
                  <c:v>0</c:v>
                </c:pt>
              </c:numCache>
            </c:numRef>
          </c:val>
          <c:smooth val="0"/>
          <c:extLst>
            <c:ext xmlns:c16="http://schemas.microsoft.com/office/drawing/2014/chart" uri="{C3380CC4-5D6E-409C-BE32-E72D297353CC}">
              <c16:uniqueId val="{00000000-D6F8-4CC0-AA4A-B6E9639918B7}"/>
            </c:ext>
          </c:extLst>
        </c:ser>
        <c:dLbls>
          <c:showLegendKey val="0"/>
          <c:showVal val="0"/>
          <c:showCatName val="0"/>
          <c:showSerName val="0"/>
          <c:showPercent val="0"/>
          <c:showBubbleSize val="0"/>
        </c:dLbls>
        <c:marker val="1"/>
        <c:smooth val="0"/>
        <c:axId val="535175840"/>
        <c:axId val="535176232"/>
      </c:lineChart>
      <c:catAx>
        <c:axId val="535175840"/>
        <c:scaling>
          <c:orientation val="minMax"/>
        </c:scaling>
        <c:delete val="0"/>
        <c:axPos val="b"/>
        <c:numFmt formatCode="General" sourceLinked="0"/>
        <c:majorTickMark val="none"/>
        <c:minorTickMark val="none"/>
        <c:tickLblPos val="nextTo"/>
        <c:crossAx val="535176232"/>
        <c:crosses val="autoZero"/>
        <c:auto val="1"/>
        <c:lblAlgn val="ctr"/>
        <c:lblOffset val="100"/>
        <c:noMultiLvlLbl val="0"/>
      </c:catAx>
      <c:valAx>
        <c:axId val="535176232"/>
        <c:scaling>
          <c:orientation val="minMax"/>
        </c:scaling>
        <c:delete val="0"/>
        <c:axPos val="l"/>
        <c:majorGridlines/>
        <c:numFmt formatCode="0.00%" sourceLinked="1"/>
        <c:majorTickMark val="none"/>
        <c:minorTickMark val="none"/>
        <c:tickLblPos val="nextTo"/>
        <c:spPr>
          <a:ln w="9525">
            <a:noFill/>
          </a:ln>
        </c:spPr>
        <c:crossAx val="535175840"/>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SmartNumbers2025byMonth!$A$10</c:f>
              <c:strCache>
                <c:ptCount val="1"/>
                <c:pt idx="0">
                  <c:v>Reactive Tickets / Endpoint / Month (new)</c:v>
                </c:pt>
              </c:strCache>
            </c:strRef>
          </c:tx>
          <c:invertIfNegative val="0"/>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SmartNumbers2025byMonth!$B$10:$M$10</c:f>
              <c:numCache>
                <c:formatCode>0.00</c:formatCode>
                <c:ptCount val="12"/>
                <c:pt idx="0">
                  <c:v>0.59296482412060303</c:v>
                </c:pt>
                <c:pt idx="1">
                  <c:v>0.49494949494949497</c:v>
                </c:pt>
                <c:pt idx="2">
                  <c:v>0.73265651438240276</c:v>
                </c:pt>
                <c:pt idx="3">
                  <c:v>0.6150081566068516</c:v>
                </c:pt>
                <c:pt idx="4">
                  <c:v>0.60312500000000002</c:v>
                </c:pt>
                <c:pt idx="5">
                  <c:v>0.7953410981697171</c:v>
                </c:pt>
                <c:pt idx="6">
                  <c:v>0.90787269681742044</c:v>
                </c:pt>
                <c:pt idx="7">
                  <c:v>0.44464285714285712</c:v>
                </c:pt>
                <c:pt idx="8">
                  <c:v>0.51792114695340496</c:v>
                </c:pt>
                <c:pt idx="9">
                  <c:v>0.62782608695652176</c:v>
                </c:pt>
                <c:pt idx="10">
                  <c:v>0</c:v>
                </c:pt>
                <c:pt idx="11">
                  <c:v>0</c:v>
                </c:pt>
              </c:numCache>
            </c:numRef>
          </c:val>
          <c:extLst>
            <c:ext xmlns:c16="http://schemas.microsoft.com/office/drawing/2014/chart" uri="{C3380CC4-5D6E-409C-BE32-E72D297353CC}">
              <c16:uniqueId val="{00000000-8511-4E58-810A-8BDA38C2F403}"/>
            </c:ext>
          </c:extLst>
        </c:ser>
        <c:dLbls>
          <c:showLegendKey val="0"/>
          <c:showVal val="0"/>
          <c:showCatName val="0"/>
          <c:showSerName val="0"/>
          <c:showPercent val="0"/>
          <c:showBubbleSize val="0"/>
        </c:dLbls>
        <c:gapWidth val="75"/>
        <c:overlap val="-25"/>
        <c:axId val="535177016"/>
        <c:axId val="535177408"/>
      </c:barChart>
      <c:catAx>
        <c:axId val="535177016"/>
        <c:scaling>
          <c:orientation val="minMax"/>
        </c:scaling>
        <c:delete val="0"/>
        <c:axPos val="b"/>
        <c:numFmt formatCode="General" sourceLinked="0"/>
        <c:majorTickMark val="none"/>
        <c:minorTickMark val="none"/>
        <c:tickLblPos val="nextTo"/>
        <c:crossAx val="535177408"/>
        <c:crosses val="autoZero"/>
        <c:auto val="1"/>
        <c:lblAlgn val="ctr"/>
        <c:lblOffset val="100"/>
        <c:noMultiLvlLbl val="0"/>
      </c:catAx>
      <c:valAx>
        <c:axId val="535177408"/>
        <c:scaling>
          <c:orientation val="minMax"/>
        </c:scaling>
        <c:delete val="0"/>
        <c:axPos val="l"/>
        <c:majorGridlines/>
        <c:numFmt formatCode="0.00" sourceLinked="1"/>
        <c:majorTickMark val="none"/>
        <c:minorTickMark val="none"/>
        <c:tickLblPos val="nextTo"/>
        <c:spPr>
          <a:ln w="9525">
            <a:noFill/>
          </a:ln>
        </c:spPr>
        <c:crossAx val="535177016"/>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SmartNumbers2025byMonth!$A$12</c:f>
              <c:strCache>
                <c:ptCount val="1"/>
                <c:pt idx="0">
                  <c:v>Average Resolution Time</c:v>
                </c:pt>
              </c:strCache>
            </c:strRef>
          </c:tx>
          <c:invertIfNegative val="0"/>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SmartNumbers2025byMonth!$B$12:$M$12</c:f>
              <c:numCache>
                <c:formatCode>0.00</c:formatCode>
                <c:ptCount val="12"/>
                <c:pt idx="0">
                  <c:v>0.41256338028169015</c:v>
                </c:pt>
                <c:pt idx="1">
                  <c:v>0.47040816326530616</c:v>
                </c:pt>
                <c:pt idx="2">
                  <c:v>0.38849187935034801</c:v>
                </c:pt>
                <c:pt idx="3">
                  <c:v>0.5492493297587131</c:v>
                </c:pt>
                <c:pt idx="4">
                  <c:v>0.38527272727272732</c:v>
                </c:pt>
                <c:pt idx="5">
                  <c:v>9.9408033826638487E-2</c:v>
                </c:pt>
                <c:pt idx="6">
                  <c:v>0</c:v>
                </c:pt>
                <c:pt idx="7">
                  <c:v>0</c:v>
                </c:pt>
                <c:pt idx="8">
                  <c:v>0</c:v>
                </c:pt>
                <c:pt idx="9">
                  <c:v>0</c:v>
                </c:pt>
                <c:pt idx="10">
                  <c:v>0</c:v>
                </c:pt>
                <c:pt idx="11">
                  <c:v>0</c:v>
                </c:pt>
              </c:numCache>
            </c:numRef>
          </c:val>
          <c:extLst>
            <c:ext xmlns:c16="http://schemas.microsoft.com/office/drawing/2014/chart" uri="{C3380CC4-5D6E-409C-BE32-E72D297353CC}">
              <c16:uniqueId val="{00000000-FFD5-46C1-B17B-6A55116EC49B}"/>
            </c:ext>
          </c:extLst>
        </c:ser>
        <c:dLbls>
          <c:showLegendKey val="0"/>
          <c:showVal val="0"/>
          <c:showCatName val="0"/>
          <c:showSerName val="0"/>
          <c:showPercent val="0"/>
          <c:showBubbleSize val="0"/>
        </c:dLbls>
        <c:gapWidth val="75"/>
        <c:overlap val="-25"/>
        <c:axId val="431239816"/>
        <c:axId val="431240208"/>
      </c:barChart>
      <c:catAx>
        <c:axId val="431239816"/>
        <c:scaling>
          <c:orientation val="minMax"/>
        </c:scaling>
        <c:delete val="0"/>
        <c:axPos val="b"/>
        <c:numFmt formatCode="General" sourceLinked="0"/>
        <c:majorTickMark val="none"/>
        <c:minorTickMark val="none"/>
        <c:tickLblPos val="nextTo"/>
        <c:crossAx val="431240208"/>
        <c:crosses val="autoZero"/>
        <c:auto val="1"/>
        <c:lblAlgn val="ctr"/>
        <c:lblOffset val="100"/>
        <c:noMultiLvlLbl val="0"/>
      </c:catAx>
      <c:valAx>
        <c:axId val="431240208"/>
        <c:scaling>
          <c:orientation val="minMax"/>
        </c:scaling>
        <c:delete val="0"/>
        <c:axPos val="l"/>
        <c:majorGridlines/>
        <c:numFmt formatCode="0.00" sourceLinked="1"/>
        <c:majorTickMark val="none"/>
        <c:minorTickMark val="none"/>
        <c:tickLblPos val="nextTo"/>
        <c:spPr>
          <a:ln w="9525">
            <a:noFill/>
          </a:ln>
        </c:spPr>
        <c:crossAx val="431239816"/>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Net Profit</a:t>
            </a:r>
          </a:p>
        </c:rich>
      </c:tx>
      <c:overlay val="0"/>
    </c:title>
    <c:autoTitleDeleted val="0"/>
    <c:plotArea>
      <c:layout>
        <c:manualLayout>
          <c:layoutTarget val="inner"/>
          <c:xMode val="edge"/>
          <c:yMode val="edge"/>
          <c:x val="0.13953018372703438"/>
          <c:y val="0.19480351414406533"/>
          <c:w val="0.82991426071741037"/>
          <c:h val="0.65482210557013765"/>
        </c:manualLayout>
      </c:layout>
      <c:barChart>
        <c:barDir val="col"/>
        <c:grouping val="clustered"/>
        <c:varyColors val="0"/>
        <c:ser>
          <c:idx val="0"/>
          <c:order val="0"/>
          <c:tx>
            <c:strRef>
              <c:f>SmartNumbers2025byMonth!$A$15</c:f>
              <c:strCache>
                <c:ptCount val="1"/>
                <c:pt idx="0">
                  <c:v>Net Profit %</c:v>
                </c:pt>
              </c:strCache>
            </c:strRef>
          </c:tx>
          <c:invertIfNegative val="0"/>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SmartNumbers2025byMonth!$B$15:$M$15</c:f>
              <c:numCache>
                <c:formatCode>0.00%</c:formatCode>
                <c:ptCount val="12"/>
                <c:pt idx="0">
                  <c:v>9.7148290983200866E-2</c:v>
                </c:pt>
                <c:pt idx="1">
                  <c:v>5.3392112935002782E-2</c:v>
                </c:pt>
                <c:pt idx="2">
                  <c:v>0.16590585749527778</c:v>
                </c:pt>
                <c:pt idx="3">
                  <c:v>0.1894179240936516</c:v>
                </c:pt>
                <c:pt idx="4">
                  <c:v>0.13356529034419848</c:v>
                </c:pt>
                <c:pt idx="5">
                  <c:v>-8.1373646521401312E-3</c:v>
                </c:pt>
                <c:pt idx="6">
                  <c:v>0.1017151794774431</c:v>
                </c:pt>
                <c:pt idx="7">
                  <c:v>9.1059110761554291E-2</c:v>
                </c:pt>
                <c:pt idx="8">
                  <c:v>0.15210465036411353</c:v>
                </c:pt>
                <c:pt idx="9">
                  <c:v>0.17389481487064076</c:v>
                </c:pt>
                <c:pt idx="10">
                  <c:v>0</c:v>
                </c:pt>
                <c:pt idx="11">
                  <c:v>0</c:v>
                </c:pt>
              </c:numCache>
            </c:numRef>
          </c:val>
          <c:extLst>
            <c:ext xmlns:c16="http://schemas.microsoft.com/office/drawing/2014/chart" uri="{C3380CC4-5D6E-409C-BE32-E72D297353CC}">
              <c16:uniqueId val="{00000000-DF56-40B9-8101-F6E4300B2667}"/>
            </c:ext>
          </c:extLst>
        </c:ser>
        <c:dLbls>
          <c:showLegendKey val="0"/>
          <c:showVal val="0"/>
          <c:showCatName val="0"/>
          <c:showSerName val="0"/>
          <c:showPercent val="0"/>
          <c:showBubbleSize val="0"/>
        </c:dLbls>
        <c:gapWidth val="75"/>
        <c:overlap val="-25"/>
        <c:axId val="431240992"/>
        <c:axId val="431241384"/>
      </c:barChart>
      <c:lineChart>
        <c:grouping val="standard"/>
        <c:varyColors val="0"/>
        <c:ser>
          <c:idx val="1"/>
          <c:order val="1"/>
          <c:tx>
            <c:v>Low</c:v>
          </c:tx>
          <c:spPr>
            <a:ln>
              <a:solidFill>
                <a:srgbClr val="FF0000">
                  <a:alpha val="49000"/>
                </a:srgbClr>
              </a:solidFill>
            </a:ln>
          </c:spPr>
          <c:marker>
            <c:symbol val="none"/>
          </c:marker>
          <c:cat>
            <c:numRef>
              <c:f>Ranges!$C$1:$F$1</c:f>
              <c:numCache>
                <c:formatCode>General</c:formatCode>
                <c:ptCount val="4"/>
              </c:numCache>
            </c:numRef>
          </c:cat>
          <c:val>
            <c:numRef>
              <c:f>Ranges!$C$2:$N$2</c:f>
              <c:numCache>
                <c:formatCode>0%</c:formatCode>
                <c:ptCount val="12"/>
                <c:pt idx="0">
                  <c:v>0.15</c:v>
                </c:pt>
                <c:pt idx="1">
                  <c:v>0.15</c:v>
                </c:pt>
                <c:pt idx="2">
                  <c:v>0.15</c:v>
                </c:pt>
                <c:pt idx="3">
                  <c:v>0.15</c:v>
                </c:pt>
                <c:pt idx="4">
                  <c:v>0.15</c:v>
                </c:pt>
                <c:pt idx="5">
                  <c:v>0.15</c:v>
                </c:pt>
                <c:pt idx="6">
                  <c:v>0.15</c:v>
                </c:pt>
                <c:pt idx="7">
                  <c:v>0.15</c:v>
                </c:pt>
                <c:pt idx="8">
                  <c:v>0.15</c:v>
                </c:pt>
                <c:pt idx="9">
                  <c:v>0.15</c:v>
                </c:pt>
                <c:pt idx="10">
                  <c:v>0.15</c:v>
                </c:pt>
                <c:pt idx="11">
                  <c:v>0.15</c:v>
                </c:pt>
              </c:numCache>
            </c:numRef>
          </c:val>
          <c:smooth val="0"/>
          <c:extLst>
            <c:ext xmlns:c16="http://schemas.microsoft.com/office/drawing/2014/chart" uri="{C3380CC4-5D6E-409C-BE32-E72D297353CC}">
              <c16:uniqueId val="{00000001-DF56-40B9-8101-F6E4300B2667}"/>
            </c:ext>
          </c:extLst>
        </c:ser>
        <c:ser>
          <c:idx val="2"/>
          <c:order val="2"/>
          <c:tx>
            <c:v>Average</c:v>
          </c:tx>
          <c:spPr>
            <a:ln w="50800">
              <a:solidFill>
                <a:srgbClr val="FFFF00">
                  <a:alpha val="69804"/>
                </a:srgbClr>
              </a:solidFill>
              <a:prstDash val="solid"/>
            </a:ln>
          </c:spPr>
          <c:marker>
            <c:symbol val="none"/>
          </c:marker>
          <c:val>
            <c:numRef>
              <c:f>Ranges!$C$3:$N$3</c:f>
              <c:numCache>
                <c:formatCode>0%</c:formatCode>
                <c:ptCount val="12"/>
                <c:pt idx="0">
                  <c:v>0.25</c:v>
                </c:pt>
                <c:pt idx="1">
                  <c:v>0.25</c:v>
                </c:pt>
                <c:pt idx="2">
                  <c:v>0.25</c:v>
                </c:pt>
                <c:pt idx="3">
                  <c:v>0.25</c:v>
                </c:pt>
                <c:pt idx="4">
                  <c:v>0.25</c:v>
                </c:pt>
                <c:pt idx="5">
                  <c:v>0.25</c:v>
                </c:pt>
                <c:pt idx="6">
                  <c:v>0.25</c:v>
                </c:pt>
                <c:pt idx="7">
                  <c:v>0.25</c:v>
                </c:pt>
                <c:pt idx="8">
                  <c:v>0.25</c:v>
                </c:pt>
                <c:pt idx="9">
                  <c:v>0.25</c:v>
                </c:pt>
                <c:pt idx="10">
                  <c:v>0.25</c:v>
                </c:pt>
                <c:pt idx="11">
                  <c:v>0.25</c:v>
                </c:pt>
              </c:numCache>
            </c:numRef>
          </c:val>
          <c:smooth val="0"/>
          <c:extLst>
            <c:ext xmlns:c16="http://schemas.microsoft.com/office/drawing/2014/chart" uri="{C3380CC4-5D6E-409C-BE32-E72D297353CC}">
              <c16:uniqueId val="{00000002-DF56-40B9-8101-F6E4300B2667}"/>
            </c:ext>
          </c:extLst>
        </c:ser>
        <c:ser>
          <c:idx val="3"/>
          <c:order val="3"/>
          <c:tx>
            <c:v>High</c:v>
          </c:tx>
          <c:spPr>
            <a:ln>
              <a:solidFill>
                <a:srgbClr val="92D050">
                  <a:alpha val="70000"/>
                </a:srgbClr>
              </a:solidFill>
              <a:prstDash val="solid"/>
            </a:ln>
          </c:spPr>
          <c:marker>
            <c:symbol val="none"/>
          </c:marker>
          <c:val>
            <c:numRef>
              <c:f>Ranges!$C$4:$N$4</c:f>
              <c:numCache>
                <c:formatCode>0%</c:formatCode>
                <c:ptCount val="12"/>
                <c:pt idx="0">
                  <c:v>0.35</c:v>
                </c:pt>
                <c:pt idx="1">
                  <c:v>0.35</c:v>
                </c:pt>
                <c:pt idx="2">
                  <c:v>0.35</c:v>
                </c:pt>
                <c:pt idx="3">
                  <c:v>0.35</c:v>
                </c:pt>
                <c:pt idx="4">
                  <c:v>0.35</c:v>
                </c:pt>
                <c:pt idx="5">
                  <c:v>0.35</c:v>
                </c:pt>
                <c:pt idx="6">
                  <c:v>0.35</c:v>
                </c:pt>
                <c:pt idx="7">
                  <c:v>0.35</c:v>
                </c:pt>
                <c:pt idx="8">
                  <c:v>0.35</c:v>
                </c:pt>
                <c:pt idx="9">
                  <c:v>0.35</c:v>
                </c:pt>
                <c:pt idx="10">
                  <c:v>0.35</c:v>
                </c:pt>
                <c:pt idx="11">
                  <c:v>0.35</c:v>
                </c:pt>
              </c:numCache>
            </c:numRef>
          </c:val>
          <c:smooth val="0"/>
          <c:extLst>
            <c:ext xmlns:c16="http://schemas.microsoft.com/office/drawing/2014/chart" uri="{C3380CC4-5D6E-409C-BE32-E72D297353CC}">
              <c16:uniqueId val="{00000003-DF56-40B9-8101-F6E4300B2667}"/>
            </c:ext>
          </c:extLst>
        </c:ser>
        <c:dLbls>
          <c:showLegendKey val="0"/>
          <c:showVal val="0"/>
          <c:showCatName val="0"/>
          <c:showSerName val="0"/>
          <c:showPercent val="0"/>
          <c:showBubbleSize val="0"/>
        </c:dLbls>
        <c:marker val="1"/>
        <c:smooth val="0"/>
        <c:axId val="431240992"/>
        <c:axId val="431241384"/>
      </c:lineChart>
      <c:catAx>
        <c:axId val="431240992"/>
        <c:scaling>
          <c:orientation val="minMax"/>
        </c:scaling>
        <c:delete val="0"/>
        <c:axPos val="b"/>
        <c:numFmt formatCode="General" sourceLinked="0"/>
        <c:majorTickMark val="none"/>
        <c:minorTickMark val="none"/>
        <c:tickLblPos val="nextTo"/>
        <c:crossAx val="431241384"/>
        <c:crosses val="autoZero"/>
        <c:auto val="1"/>
        <c:lblAlgn val="ctr"/>
        <c:lblOffset val="100"/>
        <c:noMultiLvlLbl val="0"/>
      </c:catAx>
      <c:valAx>
        <c:axId val="431241384"/>
        <c:scaling>
          <c:orientation val="minMax"/>
        </c:scaling>
        <c:delete val="0"/>
        <c:axPos val="l"/>
        <c:majorGridlines/>
        <c:numFmt formatCode="0.00%" sourceLinked="1"/>
        <c:majorTickMark val="none"/>
        <c:minorTickMark val="none"/>
        <c:tickLblPos val="nextTo"/>
        <c:spPr>
          <a:ln w="9525">
            <a:noFill/>
          </a:ln>
        </c:spPr>
        <c:crossAx val="431240992"/>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 of Revenue</a:t>
            </a:r>
            <a:r>
              <a:rPr lang="en-US" baseline="0"/>
              <a:t> from Services</a:t>
            </a:r>
            <a:endParaRPr lang="en-US"/>
          </a:p>
        </c:rich>
      </c:tx>
      <c:overlay val="0"/>
    </c:title>
    <c:autoTitleDeleted val="0"/>
    <c:plotArea>
      <c:layout/>
      <c:barChart>
        <c:barDir val="col"/>
        <c:grouping val="clustered"/>
        <c:varyColors val="0"/>
        <c:ser>
          <c:idx val="0"/>
          <c:order val="0"/>
          <c:tx>
            <c:strRef>
              <c:f>SmartNumbers2025byMonth!$A$18</c:f>
              <c:strCache>
                <c:ptCount val="1"/>
                <c:pt idx="0">
                  <c:v>% of Revenue from Services</c:v>
                </c:pt>
              </c:strCache>
            </c:strRef>
          </c:tx>
          <c:invertIfNegative val="0"/>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SmartNumbers2025byMonth!$B$18:$M$18</c:f>
              <c:numCache>
                <c:formatCode>0.00%</c:formatCode>
                <c:ptCount val="12"/>
                <c:pt idx="0">
                  <c:v>0.7067796829414944</c:v>
                </c:pt>
                <c:pt idx="1">
                  <c:v>0.64757350537035752</c:v>
                </c:pt>
                <c:pt idx="2">
                  <c:v>0.75776201666528975</c:v>
                </c:pt>
                <c:pt idx="3">
                  <c:v>0.74716125698047509</c:v>
                </c:pt>
                <c:pt idx="4">
                  <c:v>0.72552406022433846</c:v>
                </c:pt>
                <c:pt idx="5">
                  <c:v>0.79371938441848489</c:v>
                </c:pt>
                <c:pt idx="6">
                  <c:v>0.76765867313367753</c:v>
                </c:pt>
                <c:pt idx="7">
                  <c:v>0.77999591635954668</c:v>
                </c:pt>
                <c:pt idx="8">
                  <c:v>0.59281082779452865</c:v>
                </c:pt>
                <c:pt idx="9">
                  <c:v>0.72100044854194023</c:v>
                </c:pt>
                <c:pt idx="10">
                  <c:v>0</c:v>
                </c:pt>
                <c:pt idx="11">
                  <c:v>0</c:v>
                </c:pt>
              </c:numCache>
            </c:numRef>
          </c:val>
          <c:extLst>
            <c:ext xmlns:c16="http://schemas.microsoft.com/office/drawing/2014/chart" uri="{C3380CC4-5D6E-409C-BE32-E72D297353CC}">
              <c16:uniqueId val="{00000000-A098-4C97-9564-9124D06CDA4A}"/>
            </c:ext>
          </c:extLst>
        </c:ser>
        <c:dLbls>
          <c:showLegendKey val="0"/>
          <c:showVal val="0"/>
          <c:showCatName val="0"/>
          <c:showSerName val="0"/>
          <c:showPercent val="0"/>
          <c:showBubbleSize val="0"/>
        </c:dLbls>
        <c:gapWidth val="75"/>
        <c:overlap val="-25"/>
        <c:axId val="431242560"/>
        <c:axId val="431242952"/>
      </c:barChart>
      <c:lineChart>
        <c:grouping val="standard"/>
        <c:varyColors val="0"/>
        <c:ser>
          <c:idx val="1"/>
          <c:order val="1"/>
          <c:tx>
            <c:v>Low</c:v>
          </c:tx>
          <c:spPr>
            <a:ln>
              <a:solidFill>
                <a:srgbClr val="FF0000">
                  <a:alpha val="70000"/>
                </a:srgbClr>
              </a:solidFill>
            </a:ln>
          </c:spPr>
          <c:marker>
            <c:symbol val="none"/>
          </c:marker>
          <c:cat>
            <c:numRef>
              <c:f>Ranges!$C$1:$F$1</c:f>
              <c:numCache>
                <c:formatCode>General</c:formatCode>
                <c:ptCount val="4"/>
              </c:numCache>
            </c:numRef>
          </c:cat>
          <c:val>
            <c:numRef>
              <c:f>Ranges!$C$6:$N$6</c:f>
              <c:numCache>
                <c:formatCode>0%</c:formatCode>
                <c:ptCount val="12"/>
                <c:pt idx="0">
                  <c:v>0.5</c:v>
                </c:pt>
                <c:pt idx="1">
                  <c:v>0.5</c:v>
                </c:pt>
                <c:pt idx="2">
                  <c:v>0.5</c:v>
                </c:pt>
                <c:pt idx="3">
                  <c:v>0.5</c:v>
                </c:pt>
                <c:pt idx="4">
                  <c:v>0.5</c:v>
                </c:pt>
                <c:pt idx="5">
                  <c:v>0.5</c:v>
                </c:pt>
                <c:pt idx="6">
                  <c:v>0.5</c:v>
                </c:pt>
                <c:pt idx="7">
                  <c:v>0.5</c:v>
                </c:pt>
                <c:pt idx="8">
                  <c:v>0.5</c:v>
                </c:pt>
                <c:pt idx="9">
                  <c:v>0.5</c:v>
                </c:pt>
                <c:pt idx="10">
                  <c:v>0.5</c:v>
                </c:pt>
                <c:pt idx="11">
                  <c:v>0.5</c:v>
                </c:pt>
              </c:numCache>
            </c:numRef>
          </c:val>
          <c:smooth val="0"/>
          <c:extLst>
            <c:ext xmlns:c16="http://schemas.microsoft.com/office/drawing/2014/chart" uri="{C3380CC4-5D6E-409C-BE32-E72D297353CC}">
              <c16:uniqueId val="{00000001-A098-4C97-9564-9124D06CDA4A}"/>
            </c:ext>
          </c:extLst>
        </c:ser>
        <c:ser>
          <c:idx val="2"/>
          <c:order val="2"/>
          <c:tx>
            <c:v>Average</c:v>
          </c:tx>
          <c:spPr>
            <a:ln>
              <a:solidFill>
                <a:srgbClr val="FFFF00">
                  <a:alpha val="70000"/>
                </a:srgbClr>
              </a:solidFill>
            </a:ln>
          </c:spPr>
          <c:marker>
            <c:symbol val="none"/>
          </c:marker>
          <c:cat>
            <c:numRef>
              <c:f>Ranges!$C$1:$F$1</c:f>
              <c:numCache>
                <c:formatCode>General</c:formatCode>
                <c:ptCount val="4"/>
              </c:numCache>
            </c:numRef>
          </c:cat>
          <c:val>
            <c:numRef>
              <c:f>Ranges!$C$7:$N$7</c:f>
              <c:numCache>
                <c:formatCode>0%</c:formatCode>
                <c:ptCount val="12"/>
                <c:pt idx="0">
                  <c:v>0.7</c:v>
                </c:pt>
                <c:pt idx="1">
                  <c:v>0.7</c:v>
                </c:pt>
                <c:pt idx="2">
                  <c:v>0.7</c:v>
                </c:pt>
                <c:pt idx="3">
                  <c:v>0.7</c:v>
                </c:pt>
                <c:pt idx="4">
                  <c:v>0.7</c:v>
                </c:pt>
                <c:pt idx="5">
                  <c:v>0.7</c:v>
                </c:pt>
                <c:pt idx="6">
                  <c:v>0.7</c:v>
                </c:pt>
                <c:pt idx="7">
                  <c:v>0.7</c:v>
                </c:pt>
                <c:pt idx="8">
                  <c:v>0.7</c:v>
                </c:pt>
                <c:pt idx="9">
                  <c:v>0.7</c:v>
                </c:pt>
                <c:pt idx="10">
                  <c:v>0.7</c:v>
                </c:pt>
                <c:pt idx="11">
                  <c:v>0.7</c:v>
                </c:pt>
              </c:numCache>
            </c:numRef>
          </c:val>
          <c:smooth val="0"/>
          <c:extLst>
            <c:ext xmlns:c16="http://schemas.microsoft.com/office/drawing/2014/chart" uri="{C3380CC4-5D6E-409C-BE32-E72D297353CC}">
              <c16:uniqueId val="{00000002-A098-4C97-9564-9124D06CDA4A}"/>
            </c:ext>
          </c:extLst>
        </c:ser>
        <c:ser>
          <c:idx val="3"/>
          <c:order val="3"/>
          <c:tx>
            <c:v>High</c:v>
          </c:tx>
          <c:spPr>
            <a:ln>
              <a:solidFill>
                <a:srgbClr val="92D050">
                  <a:alpha val="70000"/>
                </a:srgbClr>
              </a:solidFill>
            </a:ln>
          </c:spPr>
          <c:marker>
            <c:symbol val="none"/>
          </c:marker>
          <c:cat>
            <c:numRef>
              <c:f>Ranges!$C$1:$F$1</c:f>
              <c:numCache>
                <c:formatCode>General</c:formatCode>
                <c:ptCount val="4"/>
              </c:numCache>
            </c:numRef>
          </c:cat>
          <c:val>
            <c:numRef>
              <c:f>Ranges!$C$8:$N$8</c:f>
              <c:numCache>
                <c:formatCode>0%</c:formatCode>
                <c:ptCount val="12"/>
                <c:pt idx="0">
                  <c:v>0.8</c:v>
                </c:pt>
                <c:pt idx="1">
                  <c:v>0.8</c:v>
                </c:pt>
                <c:pt idx="2">
                  <c:v>0.8</c:v>
                </c:pt>
                <c:pt idx="3">
                  <c:v>0.8</c:v>
                </c:pt>
                <c:pt idx="4">
                  <c:v>0.8</c:v>
                </c:pt>
                <c:pt idx="5">
                  <c:v>0.8</c:v>
                </c:pt>
                <c:pt idx="6">
                  <c:v>0.8</c:v>
                </c:pt>
                <c:pt idx="7">
                  <c:v>0.8</c:v>
                </c:pt>
                <c:pt idx="8">
                  <c:v>0.8</c:v>
                </c:pt>
                <c:pt idx="9">
                  <c:v>0.8</c:v>
                </c:pt>
                <c:pt idx="10">
                  <c:v>0.8</c:v>
                </c:pt>
                <c:pt idx="11">
                  <c:v>0.8</c:v>
                </c:pt>
              </c:numCache>
            </c:numRef>
          </c:val>
          <c:smooth val="0"/>
          <c:extLst>
            <c:ext xmlns:c16="http://schemas.microsoft.com/office/drawing/2014/chart" uri="{C3380CC4-5D6E-409C-BE32-E72D297353CC}">
              <c16:uniqueId val="{00000003-A098-4C97-9564-9124D06CDA4A}"/>
            </c:ext>
          </c:extLst>
        </c:ser>
        <c:dLbls>
          <c:showLegendKey val="0"/>
          <c:showVal val="0"/>
          <c:showCatName val="0"/>
          <c:showSerName val="0"/>
          <c:showPercent val="0"/>
          <c:showBubbleSize val="0"/>
        </c:dLbls>
        <c:marker val="1"/>
        <c:smooth val="0"/>
        <c:axId val="431242560"/>
        <c:axId val="431242952"/>
      </c:lineChart>
      <c:catAx>
        <c:axId val="431242560"/>
        <c:scaling>
          <c:orientation val="minMax"/>
        </c:scaling>
        <c:delete val="0"/>
        <c:axPos val="b"/>
        <c:numFmt formatCode="General" sourceLinked="0"/>
        <c:majorTickMark val="none"/>
        <c:minorTickMark val="none"/>
        <c:tickLblPos val="nextTo"/>
        <c:crossAx val="431242952"/>
        <c:crosses val="autoZero"/>
        <c:auto val="1"/>
        <c:lblAlgn val="ctr"/>
        <c:lblOffset val="100"/>
        <c:noMultiLvlLbl val="0"/>
      </c:catAx>
      <c:valAx>
        <c:axId val="431242952"/>
        <c:scaling>
          <c:orientation val="minMax"/>
        </c:scaling>
        <c:delete val="0"/>
        <c:axPos val="l"/>
        <c:majorGridlines/>
        <c:numFmt formatCode="0.00%" sourceLinked="1"/>
        <c:majorTickMark val="none"/>
        <c:minorTickMark val="none"/>
        <c:tickLblPos val="nextTo"/>
        <c:spPr>
          <a:ln w="9525">
            <a:noFill/>
          </a:ln>
        </c:spPr>
        <c:crossAx val="431242560"/>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t>
            </a:r>
            <a:r>
              <a:rPr lang="en-US" baseline="0"/>
              <a:t> Services from MRR</a:t>
            </a:r>
            <a:endParaRPr lang="en-US"/>
          </a:p>
        </c:rich>
      </c:tx>
      <c:overlay val="0"/>
    </c:title>
    <c:autoTitleDeleted val="0"/>
    <c:plotArea>
      <c:layout/>
      <c:barChart>
        <c:barDir val="col"/>
        <c:grouping val="clustered"/>
        <c:varyColors val="0"/>
        <c:ser>
          <c:idx val="0"/>
          <c:order val="0"/>
          <c:tx>
            <c:strRef>
              <c:f>SmartNumbers2025byMonth!$A$19</c:f>
              <c:strCache>
                <c:ptCount val="1"/>
                <c:pt idx="0">
                  <c:v>% of Services from MRR</c:v>
                </c:pt>
              </c:strCache>
            </c:strRef>
          </c:tx>
          <c:invertIfNegative val="0"/>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SmartNumbers2025byMonth!$B$19:$M$19</c:f>
              <c:numCache>
                <c:formatCode>0.00%</c:formatCode>
                <c:ptCount val="12"/>
                <c:pt idx="0">
                  <c:v>1.0189871636090095</c:v>
                </c:pt>
                <c:pt idx="1">
                  <c:v>0.91021934604353605</c:v>
                </c:pt>
                <c:pt idx="2">
                  <c:v>0.82431033065446957</c:v>
                </c:pt>
                <c:pt idx="3">
                  <c:v>0.96614641854156658</c:v>
                </c:pt>
                <c:pt idx="4">
                  <c:v>0.97508718443766951</c:v>
                </c:pt>
                <c:pt idx="5">
                  <c:v>0.97920744792006453</c:v>
                </c:pt>
                <c:pt idx="6">
                  <c:v>0.96974745632411263</c:v>
                </c:pt>
                <c:pt idx="7">
                  <c:v>0.90925717668049255</c:v>
                </c:pt>
                <c:pt idx="8">
                  <c:v>0.88506757215449994</c:v>
                </c:pt>
                <c:pt idx="9">
                  <c:v>0.83704659521719804</c:v>
                </c:pt>
                <c:pt idx="10">
                  <c:v>0</c:v>
                </c:pt>
                <c:pt idx="11">
                  <c:v>0</c:v>
                </c:pt>
              </c:numCache>
            </c:numRef>
          </c:val>
          <c:extLst>
            <c:ext xmlns:c16="http://schemas.microsoft.com/office/drawing/2014/chart" uri="{C3380CC4-5D6E-409C-BE32-E72D297353CC}">
              <c16:uniqueId val="{00000000-FEE8-48A0-A1ED-22F85BECD8F3}"/>
            </c:ext>
          </c:extLst>
        </c:ser>
        <c:dLbls>
          <c:showLegendKey val="0"/>
          <c:showVal val="0"/>
          <c:showCatName val="0"/>
          <c:showSerName val="0"/>
          <c:showPercent val="0"/>
          <c:showBubbleSize val="0"/>
        </c:dLbls>
        <c:gapWidth val="75"/>
        <c:overlap val="-25"/>
        <c:axId val="431243344"/>
        <c:axId val="385690352"/>
      </c:barChart>
      <c:lineChart>
        <c:grouping val="standard"/>
        <c:varyColors val="0"/>
        <c:ser>
          <c:idx val="1"/>
          <c:order val="1"/>
          <c:tx>
            <c:v>Low</c:v>
          </c:tx>
          <c:spPr>
            <a:ln>
              <a:solidFill>
                <a:srgbClr val="FF0000">
                  <a:alpha val="70000"/>
                </a:srgbClr>
              </a:solidFill>
            </a:ln>
          </c:spPr>
          <c:marker>
            <c:symbol val="none"/>
          </c:marker>
          <c:cat>
            <c:numRef>
              <c:f>Ranges!$C$1:$F$1</c:f>
              <c:numCache>
                <c:formatCode>General</c:formatCode>
                <c:ptCount val="4"/>
              </c:numCache>
            </c:numRef>
          </c:cat>
          <c:val>
            <c:numRef>
              <c:f>Ranges!$C$10:$N$10</c:f>
              <c:numCache>
                <c:formatCode>0%</c:formatCode>
                <c:ptCount val="12"/>
                <c:pt idx="0">
                  <c:v>0.55000000000000004</c:v>
                </c:pt>
                <c:pt idx="1">
                  <c:v>0.55000000000000004</c:v>
                </c:pt>
                <c:pt idx="2">
                  <c:v>0.55000000000000004</c:v>
                </c:pt>
                <c:pt idx="3">
                  <c:v>0.55000000000000004</c:v>
                </c:pt>
                <c:pt idx="4">
                  <c:v>0.55000000000000004</c:v>
                </c:pt>
                <c:pt idx="5">
                  <c:v>0.55000000000000004</c:v>
                </c:pt>
                <c:pt idx="6">
                  <c:v>0.55000000000000004</c:v>
                </c:pt>
                <c:pt idx="7">
                  <c:v>0.55000000000000004</c:v>
                </c:pt>
                <c:pt idx="8">
                  <c:v>0.55000000000000004</c:v>
                </c:pt>
                <c:pt idx="9">
                  <c:v>0.55000000000000004</c:v>
                </c:pt>
                <c:pt idx="10">
                  <c:v>0.55000000000000004</c:v>
                </c:pt>
                <c:pt idx="11">
                  <c:v>0.55000000000000004</c:v>
                </c:pt>
              </c:numCache>
            </c:numRef>
          </c:val>
          <c:smooth val="0"/>
          <c:extLst>
            <c:ext xmlns:c16="http://schemas.microsoft.com/office/drawing/2014/chart" uri="{C3380CC4-5D6E-409C-BE32-E72D297353CC}">
              <c16:uniqueId val="{00000001-FEE8-48A0-A1ED-22F85BECD8F3}"/>
            </c:ext>
          </c:extLst>
        </c:ser>
        <c:ser>
          <c:idx val="2"/>
          <c:order val="2"/>
          <c:tx>
            <c:v>Average</c:v>
          </c:tx>
          <c:spPr>
            <a:ln>
              <a:solidFill>
                <a:srgbClr val="FFFF00">
                  <a:alpha val="70000"/>
                </a:srgbClr>
              </a:solidFill>
            </a:ln>
          </c:spPr>
          <c:marker>
            <c:symbol val="none"/>
          </c:marker>
          <c:cat>
            <c:numRef>
              <c:f>Ranges!$C$1:$F$1</c:f>
              <c:numCache>
                <c:formatCode>General</c:formatCode>
                <c:ptCount val="4"/>
              </c:numCache>
            </c:numRef>
          </c:cat>
          <c:val>
            <c:numRef>
              <c:f>Ranges!$C$11:$N$11</c:f>
              <c:numCache>
                <c:formatCode>0%</c:formatCode>
                <c:ptCount val="12"/>
                <c:pt idx="0">
                  <c:v>0.7</c:v>
                </c:pt>
                <c:pt idx="1">
                  <c:v>0.7</c:v>
                </c:pt>
                <c:pt idx="2">
                  <c:v>0.7</c:v>
                </c:pt>
                <c:pt idx="3">
                  <c:v>0.7</c:v>
                </c:pt>
                <c:pt idx="4">
                  <c:v>0.7</c:v>
                </c:pt>
                <c:pt idx="5">
                  <c:v>0.7</c:v>
                </c:pt>
                <c:pt idx="6">
                  <c:v>0.7</c:v>
                </c:pt>
                <c:pt idx="7">
                  <c:v>0.7</c:v>
                </c:pt>
                <c:pt idx="8">
                  <c:v>0.7</c:v>
                </c:pt>
                <c:pt idx="9">
                  <c:v>0.7</c:v>
                </c:pt>
                <c:pt idx="10">
                  <c:v>0.7</c:v>
                </c:pt>
                <c:pt idx="11">
                  <c:v>0.7</c:v>
                </c:pt>
              </c:numCache>
            </c:numRef>
          </c:val>
          <c:smooth val="0"/>
          <c:extLst>
            <c:ext xmlns:c16="http://schemas.microsoft.com/office/drawing/2014/chart" uri="{C3380CC4-5D6E-409C-BE32-E72D297353CC}">
              <c16:uniqueId val="{00000002-FEE8-48A0-A1ED-22F85BECD8F3}"/>
            </c:ext>
          </c:extLst>
        </c:ser>
        <c:ser>
          <c:idx val="3"/>
          <c:order val="3"/>
          <c:tx>
            <c:v>High</c:v>
          </c:tx>
          <c:spPr>
            <a:ln>
              <a:solidFill>
                <a:srgbClr val="92D050">
                  <a:alpha val="70000"/>
                </a:srgbClr>
              </a:solidFill>
            </a:ln>
          </c:spPr>
          <c:marker>
            <c:symbol val="none"/>
          </c:marker>
          <c:cat>
            <c:numRef>
              <c:f>Ranges!$C$1:$F$1</c:f>
              <c:numCache>
                <c:formatCode>General</c:formatCode>
                <c:ptCount val="4"/>
              </c:numCache>
            </c:numRef>
          </c:cat>
          <c:val>
            <c:numRef>
              <c:f>Ranges!$C$12:$N$12</c:f>
              <c:numCache>
                <c:formatCode>0%</c:formatCode>
                <c:ptCount val="12"/>
                <c:pt idx="0">
                  <c:v>0.8</c:v>
                </c:pt>
                <c:pt idx="1">
                  <c:v>0.8</c:v>
                </c:pt>
                <c:pt idx="2">
                  <c:v>0.8</c:v>
                </c:pt>
                <c:pt idx="3">
                  <c:v>0.8</c:v>
                </c:pt>
                <c:pt idx="4">
                  <c:v>0.8</c:v>
                </c:pt>
                <c:pt idx="5">
                  <c:v>0.8</c:v>
                </c:pt>
                <c:pt idx="6">
                  <c:v>0.8</c:v>
                </c:pt>
                <c:pt idx="7">
                  <c:v>0.8</c:v>
                </c:pt>
                <c:pt idx="8">
                  <c:v>0.8</c:v>
                </c:pt>
                <c:pt idx="9">
                  <c:v>0.8</c:v>
                </c:pt>
                <c:pt idx="10">
                  <c:v>0.8</c:v>
                </c:pt>
                <c:pt idx="11">
                  <c:v>0.8</c:v>
                </c:pt>
              </c:numCache>
            </c:numRef>
          </c:val>
          <c:smooth val="0"/>
          <c:extLst>
            <c:ext xmlns:c16="http://schemas.microsoft.com/office/drawing/2014/chart" uri="{C3380CC4-5D6E-409C-BE32-E72D297353CC}">
              <c16:uniqueId val="{00000003-FEE8-48A0-A1ED-22F85BECD8F3}"/>
            </c:ext>
          </c:extLst>
        </c:ser>
        <c:dLbls>
          <c:showLegendKey val="0"/>
          <c:showVal val="0"/>
          <c:showCatName val="0"/>
          <c:showSerName val="0"/>
          <c:showPercent val="0"/>
          <c:showBubbleSize val="0"/>
        </c:dLbls>
        <c:marker val="1"/>
        <c:smooth val="0"/>
        <c:axId val="431243344"/>
        <c:axId val="385690352"/>
      </c:lineChart>
      <c:catAx>
        <c:axId val="431243344"/>
        <c:scaling>
          <c:orientation val="minMax"/>
        </c:scaling>
        <c:delete val="0"/>
        <c:axPos val="b"/>
        <c:numFmt formatCode="General" sourceLinked="0"/>
        <c:majorTickMark val="none"/>
        <c:minorTickMark val="none"/>
        <c:tickLblPos val="nextTo"/>
        <c:crossAx val="385690352"/>
        <c:crosses val="autoZero"/>
        <c:auto val="1"/>
        <c:lblAlgn val="ctr"/>
        <c:lblOffset val="100"/>
        <c:noMultiLvlLbl val="0"/>
      </c:catAx>
      <c:valAx>
        <c:axId val="385690352"/>
        <c:scaling>
          <c:orientation val="minMax"/>
        </c:scaling>
        <c:delete val="0"/>
        <c:axPos val="l"/>
        <c:majorGridlines/>
        <c:numFmt formatCode="0.00%" sourceLinked="1"/>
        <c:majorTickMark val="none"/>
        <c:minorTickMark val="none"/>
        <c:tickLblPos val="nextTo"/>
        <c:spPr>
          <a:ln w="9525">
            <a:noFill/>
          </a:ln>
        </c:spPr>
        <c:crossAx val="431243344"/>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Reactive %</a:t>
            </a:r>
          </a:p>
        </c:rich>
      </c:tx>
      <c:overlay val="0"/>
    </c:title>
    <c:autoTitleDeleted val="0"/>
    <c:plotArea>
      <c:layout/>
      <c:barChart>
        <c:barDir val="col"/>
        <c:grouping val="clustered"/>
        <c:varyColors val="0"/>
        <c:ser>
          <c:idx val="0"/>
          <c:order val="0"/>
          <c:tx>
            <c:strRef>
              <c:f>SmartNumbers2025byMonth!$A$13</c:f>
              <c:strCache>
                <c:ptCount val="1"/>
                <c:pt idx="0">
                  <c:v>Reactive Service %</c:v>
                </c:pt>
              </c:strCache>
            </c:strRef>
          </c:tx>
          <c:invertIfNegative val="0"/>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SmartNumbers2025byMonth!$B$13:$M$13</c:f>
              <c:numCache>
                <c:formatCode>0.00%</c:formatCode>
                <c:ptCount val="12"/>
                <c:pt idx="0">
                  <c:v>0.15945563418617312</c:v>
                </c:pt>
                <c:pt idx="1">
                  <c:v>0.15057158410451824</c:v>
                </c:pt>
                <c:pt idx="2">
                  <c:v>0.18229722373434948</c:v>
                </c:pt>
                <c:pt idx="3">
                  <c:v>0.22304844855743061</c:v>
                </c:pt>
                <c:pt idx="4">
                  <c:v>0.16149156232988571</c:v>
                </c:pt>
                <c:pt idx="5">
                  <c:v>5.1192161132280894E-2</c:v>
                </c:pt>
                <c:pt idx="6">
                  <c:v>0</c:v>
                </c:pt>
                <c:pt idx="7">
                  <c:v>0</c:v>
                </c:pt>
                <c:pt idx="8">
                  <c:v>0</c:v>
                </c:pt>
                <c:pt idx="9">
                  <c:v>0</c:v>
                </c:pt>
                <c:pt idx="10">
                  <c:v>0</c:v>
                </c:pt>
                <c:pt idx="11">
                  <c:v>0</c:v>
                </c:pt>
              </c:numCache>
            </c:numRef>
          </c:val>
          <c:extLst>
            <c:ext xmlns:c16="http://schemas.microsoft.com/office/drawing/2014/chart" uri="{C3380CC4-5D6E-409C-BE32-E72D297353CC}">
              <c16:uniqueId val="{00000000-9FED-4843-974F-026094B67F15}"/>
            </c:ext>
          </c:extLst>
        </c:ser>
        <c:dLbls>
          <c:showLegendKey val="0"/>
          <c:showVal val="0"/>
          <c:showCatName val="0"/>
          <c:showSerName val="0"/>
          <c:showPercent val="0"/>
          <c:showBubbleSize val="0"/>
        </c:dLbls>
        <c:gapWidth val="75"/>
        <c:overlap val="-25"/>
        <c:axId val="385691136"/>
        <c:axId val="385691528"/>
      </c:barChart>
      <c:catAx>
        <c:axId val="385691136"/>
        <c:scaling>
          <c:orientation val="minMax"/>
        </c:scaling>
        <c:delete val="0"/>
        <c:axPos val="b"/>
        <c:numFmt formatCode="General" sourceLinked="0"/>
        <c:majorTickMark val="none"/>
        <c:minorTickMark val="none"/>
        <c:tickLblPos val="nextTo"/>
        <c:crossAx val="385691528"/>
        <c:crosses val="autoZero"/>
        <c:auto val="1"/>
        <c:lblAlgn val="ctr"/>
        <c:lblOffset val="100"/>
        <c:noMultiLvlLbl val="0"/>
      </c:catAx>
      <c:valAx>
        <c:axId val="385691528"/>
        <c:scaling>
          <c:orientation val="minMax"/>
        </c:scaling>
        <c:delete val="0"/>
        <c:axPos val="l"/>
        <c:majorGridlines/>
        <c:numFmt formatCode="0.00%" sourceLinked="1"/>
        <c:majorTickMark val="none"/>
        <c:minorTickMark val="none"/>
        <c:tickLblPos val="nextTo"/>
        <c:spPr>
          <a:ln w="9525">
            <a:noFill/>
          </a:ln>
        </c:spPr>
        <c:crossAx val="385691136"/>
        <c:crosses val="autoZero"/>
        <c:crossBetween val="between"/>
      </c:valAx>
    </c:plotArea>
    <c:legend>
      <c:legendPos val="b"/>
      <c:overlay val="0"/>
    </c:legend>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Average AISP</a:t>
            </a:r>
          </a:p>
        </c:rich>
      </c:tx>
      <c:overlay val="0"/>
    </c:title>
    <c:autoTitleDeleted val="0"/>
    <c:plotArea>
      <c:layout/>
      <c:barChart>
        <c:barDir val="col"/>
        <c:grouping val="clustered"/>
        <c:varyColors val="0"/>
        <c:ser>
          <c:idx val="0"/>
          <c:order val="0"/>
          <c:tx>
            <c:strRef>
              <c:f>SmartNumbers2025byMonth!$A$24</c:f>
              <c:strCache>
                <c:ptCount val="1"/>
                <c:pt idx="0">
                  <c:v>Average AISP</c:v>
                </c:pt>
              </c:strCache>
            </c:strRef>
          </c:tx>
          <c:invertIfNegative val="0"/>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SmartNumbers2025byMonth!$B$24:$M$24</c:f>
              <c:numCache>
                <c:formatCode>"$"#,##0</c:formatCode>
                <c:ptCount val="12"/>
                <c:pt idx="0">
                  <c:v>200.88326007326006</c:v>
                </c:pt>
                <c:pt idx="1">
                  <c:v>203.08366482504601</c:v>
                </c:pt>
                <c:pt idx="2">
                  <c:v>202.95732472324721</c:v>
                </c:pt>
                <c:pt idx="3">
                  <c:v>201.32170212765959</c:v>
                </c:pt>
                <c:pt idx="4">
                  <c:v>200.01535042735046</c:v>
                </c:pt>
                <c:pt idx="5">
                  <c:v>203.76123411978222</c:v>
                </c:pt>
                <c:pt idx="6">
                  <c:v>208.06549270072992</c:v>
                </c:pt>
                <c:pt idx="7">
                  <c:v>210.31050880626225</c:v>
                </c:pt>
                <c:pt idx="8">
                  <c:v>208.75275049115916</c:v>
                </c:pt>
                <c:pt idx="9">
                  <c:v>0</c:v>
                </c:pt>
                <c:pt idx="10">
                  <c:v>0</c:v>
                </c:pt>
                <c:pt idx="11">
                  <c:v>0</c:v>
                </c:pt>
              </c:numCache>
            </c:numRef>
          </c:val>
          <c:extLst>
            <c:ext xmlns:c16="http://schemas.microsoft.com/office/drawing/2014/chart" uri="{C3380CC4-5D6E-409C-BE32-E72D297353CC}">
              <c16:uniqueId val="{00000000-905E-4354-8330-638F2125A878}"/>
            </c:ext>
          </c:extLst>
        </c:ser>
        <c:dLbls>
          <c:showLegendKey val="0"/>
          <c:showVal val="0"/>
          <c:showCatName val="0"/>
          <c:showSerName val="0"/>
          <c:showPercent val="0"/>
          <c:showBubbleSize val="0"/>
        </c:dLbls>
        <c:gapWidth val="75"/>
        <c:overlap val="-25"/>
        <c:axId val="385692312"/>
        <c:axId val="385692704"/>
      </c:barChart>
      <c:lineChart>
        <c:grouping val="standard"/>
        <c:varyColors val="0"/>
        <c:ser>
          <c:idx val="1"/>
          <c:order val="1"/>
          <c:tx>
            <c:v>Low</c:v>
          </c:tx>
          <c:spPr>
            <a:ln>
              <a:solidFill>
                <a:srgbClr val="FF0000">
                  <a:alpha val="70000"/>
                </a:srgbClr>
              </a:solidFill>
            </a:ln>
          </c:spPr>
          <c:marker>
            <c:symbol val="none"/>
          </c:marker>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Ranges!$C$22:$N$22</c:f>
              <c:numCache>
                <c:formatCode>"$"#,##0.00</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val>
          <c:smooth val="0"/>
          <c:extLst>
            <c:ext xmlns:c16="http://schemas.microsoft.com/office/drawing/2014/chart" uri="{C3380CC4-5D6E-409C-BE32-E72D297353CC}">
              <c16:uniqueId val="{00000001-905E-4354-8330-638F2125A878}"/>
            </c:ext>
          </c:extLst>
        </c:ser>
        <c:ser>
          <c:idx val="2"/>
          <c:order val="2"/>
          <c:tx>
            <c:v>Average</c:v>
          </c:tx>
          <c:spPr>
            <a:ln>
              <a:solidFill>
                <a:srgbClr val="FFFF00">
                  <a:alpha val="70000"/>
                </a:srgbClr>
              </a:solidFill>
            </a:ln>
          </c:spPr>
          <c:marker>
            <c:symbol val="none"/>
          </c:marker>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Ranges!$C$23:$N$23</c:f>
              <c:numCache>
                <c:formatCode>"$"#,##0.00</c:formatCode>
                <c:ptCount val="12"/>
                <c:pt idx="0">
                  <c:v>120</c:v>
                </c:pt>
                <c:pt idx="1">
                  <c:v>120</c:v>
                </c:pt>
                <c:pt idx="2">
                  <c:v>120</c:v>
                </c:pt>
                <c:pt idx="3">
                  <c:v>120</c:v>
                </c:pt>
                <c:pt idx="4">
                  <c:v>120</c:v>
                </c:pt>
                <c:pt idx="5">
                  <c:v>120</c:v>
                </c:pt>
                <c:pt idx="6">
                  <c:v>120</c:v>
                </c:pt>
                <c:pt idx="7">
                  <c:v>120</c:v>
                </c:pt>
                <c:pt idx="8">
                  <c:v>120</c:v>
                </c:pt>
                <c:pt idx="9">
                  <c:v>120</c:v>
                </c:pt>
                <c:pt idx="10">
                  <c:v>120</c:v>
                </c:pt>
                <c:pt idx="11">
                  <c:v>120</c:v>
                </c:pt>
              </c:numCache>
            </c:numRef>
          </c:val>
          <c:smooth val="0"/>
          <c:extLst>
            <c:ext xmlns:c16="http://schemas.microsoft.com/office/drawing/2014/chart" uri="{C3380CC4-5D6E-409C-BE32-E72D297353CC}">
              <c16:uniqueId val="{00000002-905E-4354-8330-638F2125A878}"/>
            </c:ext>
          </c:extLst>
        </c:ser>
        <c:ser>
          <c:idx val="3"/>
          <c:order val="3"/>
          <c:tx>
            <c:v>High</c:v>
          </c:tx>
          <c:spPr>
            <a:ln>
              <a:solidFill>
                <a:srgbClr val="92D050">
                  <a:alpha val="70000"/>
                </a:srgbClr>
              </a:solidFill>
            </a:ln>
          </c:spPr>
          <c:marker>
            <c:symbol val="none"/>
          </c:marker>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Ranges!$C$24:$N$24</c:f>
              <c:numCache>
                <c:formatCode>"$"#,##0.00</c:formatCode>
                <c:ptCount val="12"/>
                <c:pt idx="0">
                  <c:v>135</c:v>
                </c:pt>
                <c:pt idx="1">
                  <c:v>135</c:v>
                </c:pt>
                <c:pt idx="2">
                  <c:v>135</c:v>
                </c:pt>
                <c:pt idx="3">
                  <c:v>135</c:v>
                </c:pt>
                <c:pt idx="4">
                  <c:v>135</c:v>
                </c:pt>
                <c:pt idx="5">
                  <c:v>135</c:v>
                </c:pt>
                <c:pt idx="6">
                  <c:v>135</c:v>
                </c:pt>
                <c:pt idx="7">
                  <c:v>135</c:v>
                </c:pt>
                <c:pt idx="8">
                  <c:v>135</c:v>
                </c:pt>
                <c:pt idx="9">
                  <c:v>135</c:v>
                </c:pt>
                <c:pt idx="10">
                  <c:v>135</c:v>
                </c:pt>
                <c:pt idx="11">
                  <c:v>135</c:v>
                </c:pt>
              </c:numCache>
            </c:numRef>
          </c:val>
          <c:smooth val="0"/>
          <c:extLst>
            <c:ext xmlns:c16="http://schemas.microsoft.com/office/drawing/2014/chart" uri="{C3380CC4-5D6E-409C-BE32-E72D297353CC}">
              <c16:uniqueId val="{00000003-905E-4354-8330-638F2125A878}"/>
            </c:ext>
          </c:extLst>
        </c:ser>
        <c:dLbls>
          <c:showLegendKey val="0"/>
          <c:showVal val="0"/>
          <c:showCatName val="0"/>
          <c:showSerName val="0"/>
          <c:showPercent val="0"/>
          <c:showBubbleSize val="0"/>
        </c:dLbls>
        <c:marker val="1"/>
        <c:smooth val="0"/>
        <c:axId val="385692312"/>
        <c:axId val="385692704"/>
      </c:lineChart>
      <c:catAx>
        <c:axId val="385692312"/>
        <c:scaling>
          <c:orientation val="minMax"/>
        </c:scaling>
        <c:delete val="0"/>
        <c:axPos val="b"/>
        <c:numFmt formatCode="General" sourceLinked="0"/>
        <c:majorTickMark val="none"/>
        <c:minorTickMark val="none"/>
        <c:tickLblPos val="nextTo"/>
        <c:crossAx val="385692704"/>
        <c:crosses val="autoZero"/>
        <c:auto val="1"/>
        <c:lblAlgn val="ctr"/>
        <c:lblOffset val="100"/>
        <c:noMultiLvlLbl val="0"/>
      </c:catAx>
      <c:valAx>
        <c:axId val="385692704"/>
        <c:scaling>
          <c:orientation val="minMax"/>
        </c:scaling>
        <c:delete val="0"/>
        <c:axPos val="l"/>
        <c:majorGridlines/>
        <c:numFmt formatCode="&quot;$&quot;#,##0" sourceLinked="1"/>
        <c:majorTickMark val="none"/>
        <c:minorTickMark val="none"/>
        <c:tickLblPos val="nextTo"/>
        <c:spPr>
          <a:ln w="9525">
            <a:noFill/>
          </a:ln>
        </c:spPr>
        <c:crossAx val="385692312"/>
        <c:crosses val="autoZero"/>
        <c:crossBetween val="between"/>
      </c:valAx>
    </c:plotArea>
    <c:plotVisOnly val="1"/>
    <c:dispBlanksAs val="zero"/>
    <c:showDLblsOverMax val="0"/>
  </c:chart>
  <c:printSettings>
    <c:headerFooter/>
    <c:pageMargins b="0.75000000000000056" l="0.70000000000000051" r="0.70000000000000051" t="0.75000000000000056" header="0.30000000000000027" footer="0.30000000000000027"/>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Average MRR</a:t>
            </a:r>
          </a:p>
        </c:rich>
      </c:tx>
      <c:overlay val="0"/>
    </c:title>
    <c:autoTitleDeleted val="0"/>
    <c:plotArea>
      <c:layout/>
      <c:barChart>
        <c:barDir val="col"/>
        <c:grouping val="clustered"/>
        <c:varyColors val="0"/>
        <c:ser>
          <c:idx val="0"/>
          <c:order val="0"/>
          <c:tx>
            <c:strRef>
              <c:f>SmartNumbers2025byMonth!$A$25</c:f>
              <c:strCache>
                <c:ptCount val="1"/>
                <c:pt idx="0">
                  <c:v>Average MRR</c:v>
                </c:pt>
              </c:strCache>
            </c:strRef>
          </c:tx>
          <c:invertIfNegative val="0"/>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SmartNumbers2025byMonth!$B$25:$M$25</c:f>
              <c:numCache>
                <c:formatCode>"$"#,##0</c:formatCode>
                <c:ptCount val="12"/>
                <c:pt idx="0">
                  <c:v>2964.3854054054054</c:v>
                </c:pt>
                <c:pt idx="1">
                  <c:v>3063.178611111111</c:v>
                </c:pt>
                <c:pt idx="2">
                  <c:v>3055.6352777777774</c:v>
                </c:pt>
                <c:pt idx="3">
                  <c:v>3068.7956756756757</c:v>
                </c:pt>
                <c:pt idx="4">
                  <c:v>3079.1836842105267</c:v>
                </c:pt>
                <c:pt idx="5">
                  <c:v>2954.5378947368422</c:v>
                </c:pt>
                <c:pt idx="6">
                  <c:v>3000.5234210526314</c:v>
                </c:pt>
                <c:pt idx="7">
                  <c:v>2828.1228947368422</c:v>
                </c:pt>
                <c:pt idx="8">
                  <c:v>2871.7608108108111</c:v>
                </c:pt>
                <c:pt idx="9">
                  <c:v>0</c:v>
                </c:pt>
                <c:pt idx="10">
                  <c:v>0</c:v>
                </c:pt>
                <c:pt idx="11">
                  <c:v>0</c:v>
                </c:pt>
              </c:numCache>
            </c:numRef>
          </c:val>
          <c:extLst>
            <c:ext xmlns:c16="http://schemas.microsoft.com/office/drawing/2014/chart" uri="{C3380CC4-5D6E-409C-BE32-E72D297353CC}">
              <c16:uniqueId val="{00000000-6F9A-48CF-B467-6031F4809105}"/>
            </c:ext>
          </c:extLst>
        </c:ser>
        <c:dLbls>
          <c:showLegendKey val="0"/>
          <c:showVal val="0"/>
          <c:showCatName val="0"/>
          <c:showSerName val="0"/>
          <c:showPercent val="0"/>
          <c:showBubbleSize val="0"/>
        </c:dLbls>
        <c:gapWidth val="75"/>
        <c:overlap val="-25"/>
        <c:axId val="385723904"/>
        <c:axId val="385724296"/>
      </c:barChart>
      <c:lineChart>
        <c:grouping val="standard"/>
        <c:varyColors val="0"/>
        <c:ser>
          <c:idx val="1"/>
          <c:order val="1"/>
          <c:tx>
            <c:v>Low</c:v>
          </c:tx>
          <c:spPr>
            <a:ln>
              <a:solidFill>
                <a:srgbClr val="FF0000">
                  <a:alpha val="70000"/>
                </a:srgbClr>
              </a:solidFill>
            </a:ln>
          </c:spPr>
          <c:marker>
            <c:symbol val="none"/>
          </c:marker>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Ranges!$C$26:$N$26</c:f>
              <c:numCache>
                <c:formatCode>"$"#,##0.00</c:formatCode>
                <c:ptCount val="12"/>
                <c:pt idx="0">
                  <c:v>1800</c:v>
                </c:pt>
                <c:pt idx="1">
                  <c:v>1800</c:v>
                </c:pt>
                <c:pt idx="2">
                  <c:v>1800</c:v>
                </c:pt>
                <c:pt idx="3">
                  <c:v>1800</c:v>
                </c:pt>
                <c:pt idx="4">
                  <c:v>1800</c:v>
                </c:pt>
                <c:pt idx="5">
                  <c:v>1800</c:v>
                </c:pt>
                <c:pt idx="6">
                  <c:v>1800</c:v>
                </c:pt>
                <c:pt idx="7">
                  <c:v>1800</c:v>
                </c:pt>
                <c:pt idx="8">
                  <c:v>1800</c:v>
                </c:pt>
                <c:pt idx="9">
                  <c:v>1800</c:v>
                </c:pt>
                <c:pt idx="10">
                  <c:v>1800</c:v>
                </c:pt>
                <c:pt idx="11">
                  <c:v>1800</c:v>
                </c:pt>
              </c:numCache>
            </c:numRef>
          </c:val>
          <c:smooth val="0"/>
          <c:extLst>
            <c:ext xmlns:c16="http://schemas.microsoft.com/office/drawing/2014/chart" uri="{C3380CC4-5D6E-409C-BE32-E72D297353CC}">
              <c16:uniqueId val="{00000001-6F9A-48CF-B467-6031F4809105}"/>
            </c:ext>
          </c:extLst>
        </c:ser>
        <c:ser>
          <c:idx val="2"/>
          <c:order val="2"/>
          <c:tx>
            <c:v>Average</c:v>
          </c:tx>
          <c:spPr>
            <a:ln>
              <a:solidFill>
                <a:srgbClr val="FFFF00">
                  <a:alpha val="70000"/>
                </a:srgbClr>
              </a:solidFill>
            </a:ln>
          </c:spPr>
          <c:marker>
            <c:symbol val="none"/>
          </c:marker>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Ranges!$C$27:$N$27</c:f>
              <c:numCache>
                <c:formatCode>"$"#,##0.00</c:formatCode>
                <c:ptCount val="12"/>
                <c:pt idx="0">
                  <c:v>2500</c:v>
                </c:pt>
                <c:pt idx="1">
                  <c:v>2500</c:v>
                </c:pt>
                <c:pt idx="2">
                  <c:v>2500</c:v>
                </c:pt>
                <c:pt idx="3">
                  <c:v>2500</c:v>
                </c:pt>
                <c:pt idx="4">
                  <c:v>2500</c:v>
                </c:pt>
                <c:pt idx="5">
                  <c:v>2500</c:v>
                </c:pt>
                <c:pt idx="6">
                  <c:v>2500</c:v>
                </c:pt>
                <c:pt idx="7">
                  <c:v>2500</c:v>
                </c:pt>
                <c:pt idx="8">
                  <c:v>2500</c:v>
                </c:pt>
                <c:pt idx="9">
                  <c:v>2500</c:v>
                </c:pt>
                <c:pt idx="10">
                  <c:v>2500</c:v>
                </c:pt>
                <c:pt idx="11">
                  <c:v>2500</c:v>
                </c:pt>
              </c:numCache>
            </c:numRef>
          </c:val>
          <c:smooth val="0"/>
          <c:extLst>
            <c:ext xmlns:c16="http://schemas.microsoft.com/office/drawing/2014/chart" uri="{C3380CC4-5D6E-409C-BE32-E72D297353CC}">
              <c16:uniqueId val="{00000002-6F9A-48CF-B467-6031F4809105}"/>
            </c:ext>
          </c:extLst>
        </c:ser>
        <c:ser>
          <c:idx val="3"/>
          <c:order val="3"/>
          <c:tx>
            <c:v>High</c:v>
          </c:tx>
          <c:spPr>
            <a:ln>
              <a:solidFill>
                <a:srgbClr val="92D050">
                  <a:alpha val="70000"/>
                </a:srgbClr>
              </a:solidFill>
            </a:ln>
          </c:spPr>
          <c:marker>
            <c:symbol val="none"/>
          </c:marker>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Ranges!$C$28:$N$28</c:f>
              <c:numCache>
                <c:formatCode>"$"#,##0.00</c:formatCode>
                <c:ptCount val="12"/>
                <c:pt idx="0">
                  <c:v>3000</c:v>
                </c:pt>
                <c:pt idx="1">
                  <c:v>3000</c:v>
                </c:pt>
                <c:pt idx="2">
                  <c:v>3000</c:v>
                </c:pt>
                <c:pt idx="3">
                  <c:v>3000</c:v>
                </c:pt>
                <c:pt idx="4">
                  <c:v>3000</c:v>
                </c:pt>
                <c:pt idx="5">
                  <c:v>3000</c:v>
                </c:pt>
                <c:pt idx="6">
                  <c:v>3000</c:v>
                </c:pt>
                <c:pt idx="7">
                  <c:v>3000</c:v>
                </c:pt>
                <c:pt idx="8">
                  <c:v>3000</c:v>
                </c:pt>
                <c:pt idx="9">
                  <c:v>3000</c:v>
                </c:pt>
                <c:pt idx="10">
                  <c:v>3000</c:v>
                </c:pt>
                <c:pt idx="11">
                  <c:v>3000</c:v>
                </c:pt>
              </c:numCache>
            </c:numRef>
          </c:val>
          <c:smooth val="0"/>
          <c:extLst>
            <c:ext xmlns:c16="http://schemas.microsoft.com/office/drawing/2014/chart" uri="{C3380CC4-5D6E-409C-BE32-E72D297353CC}">
              <c16:uniqueId val="{00000003-6F9A-48CF-B467-6031F4809105}"/>
            </c:ext>
          </c:extLst>
        </c:ser>
        <c:dLbls>
          <c:showLegendKey val="0"/>
          <c:showVal val="0"/>
          <c:showCatName val="0"/>
          <c:showSerName val="0"/>
          <c:showPercent val="0"/>
          <c:showBubbleSize val="0"/>
        </c:dLbls>
        <c:marker val="1"/>
        <c:smooth val="0"/>
        <c:axId val="385723904"/>
        <c:axId val="385724296"/>
      </c:lineChart>
      <c:catAx>
        <c:axId val="385723904"/>
        <c:scaling>
          <c:orientation val="minMax"/>
        </c:scaling>
        <c:delete val="0"/>
        <c:axPos val="b"/>
        <c:numFmt formatCode="General" sourceLinked="0"/>
        <c:majorTickMark val="none"/>
        <c:minorTickMark val="none"/>
        <c:tickLblPos val="nextTo"/>
        <c:crossAx val="385724296"/>
        <c:crosses val="autoZero"/>
        <c:auto val="1"/>
        <c:lblAlgn val="ctr"/>
        <c:lblOffset val="100"/>
        <c:noMultiLvlLbl val="0"/>
      </c:catAx>
      <c:valAx>
        <c:axId val="385724296"/>
        <c:scaling>
          <c:orientation val="minMax"/>
        </c:scaling>
        <c:delete val="0"/>
        <c:axPos val="l"/>
        <c:majorGridlines/>
        <c:numFmt formatCode="&quot;$&quot;#,##0" sourceLinked="1"/>
        <c:majorTickMark val="none"/>
        <c:minorTickMark val="none"/>
        <c:tickLblPos val="nextTo"/>
        <c:spPr>
          <a:ln w="9525">
            <a:noFill/>
          </a:ln>
        </c:spPr>
        <c:crossAx val="385723904"/>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 of Dials</a:t>
            </a:r>
            <a:r>
              <a:rPr lang="en-US" baseline="0"/>
              <a:t> / Appointment</a:t>
            </a:r>
            <a:endParaRPr lang="en-US"/>
          </a:p>
        </c:rich>
      </c:tx>
      <c:overlay val="0"/>
    </c:title>
    <c:autoTitleDeleted val="0"/>
    <c:plotArea>
      <c:layout/>
      <c:barChart>
        <c:barDir val="col"/>
        <c:grouping val="clustered"/>
        <c:varyColors val="0"/>
        <c:ser>
          <c:idx val="0"/>
          <c:order val="0"/>
          <c:tx>
            <c:strRef>
              <c:f>SmartNumbers2025byMonth!$A$31</c:f>
              <c:strCache>
                <c:ptCount val="1"/>
                <c:pt idx="0">
                  <c:v># of dials / appointment</c:v>
                </c:pt>
              </c:strCache>
            </c:strRef>
          </c:tx>
          <c:invertIfNegative val="0"/>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SmartNumbers2025byMonth!$B$31:$M$31</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DC7E-4E3E-86F6-201B9EC28483}"/>
            </c:ext>
          </c:extLst>
        </c:ser>
        <c:dLbls>
          <c:showLegendKey val="0"/>
          <c:showVal val="0"/>
          <c:showCatName val="0"/>
          <c:showSerName val="0"/>
          <c:showPercent val="0"/>
          <c:showBubbleSize val="0"/>
        </c:dLbls>
        <c:gapWidth val="75"/>
        <c:overlap val="-25"/>
        <c:axId val="385725080"/>
        <c:axId val="385725472"/>
      </c:barChart>
      <c:lineChart>
        <c:grouping val="standard"/>
        <c:varyColors val="0"/>
        <c:ser>
          <c:idx val="1"/>
          <c:order val="1"/>
          <c:tx>
            <c:v>Low</c:v>
          </c:tx>
          <c:spPr>
            <a:ln>
              <a:solidFill>
                <a:srgbClr val="92D05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Ranges!$C$30:$N$30</c:f>
              <c:numCache>
                <c:formatCode>General</c:formatCode>
                <c:ptCount val="12"/>
                <c:pt idx="0">
                  <c:v>70</c:v>
                </c:pt>
                <c:pt idx="1">
                  <c:v>70</c:v>
                </c:pt>
                <c:pt idx="2">
                  <c:v>70</c:v>
                </c:pt>
                <c:pt idx="3">
                  <c:v>70</c:v>
                </c:pt>
                <c:pt idx="4">
                  <c:v>70</c:v>
                </c:pt>
                <c:pt idx="5">
                  <c:v>70</c:v>
                </c:pt>
                <c:pt idx="6">
                  <c:v>70</c:v>
                </c:pt>
                <c:pt idx="7">
                  <c:v>70</c:v>
                </c:pt>
                <c:pt idx="8">
                  <c:v>70</c:v>
                </c:pt>
                <c:pt idx="9">
                  <c:v>70</c:v>
                </c:pt>
                <c:pt idx="10">
                  <c:v>70</c:v>
                </c:pt>
                <c:pt idx="11">
                  <c:v>70</c:v>
                </c:pt>
              </c:numCache>
            </c:numRef>
          </c:val>
          <c:smooth val="0"/>
          <c:extLst>
            <c:ext xmlns:c16="http://schemas.microsoft.com/office/drawing/2014/chart" uri="{C3380CC4-5D6E-409C-BE32-E72D297353CC}">
              <c16:uniqueId val="{00000001-DC7E-4E3E-86F6-201B9EC28483}"/>
            </c:ext>
          </c:extLst>
        </c:ser>
        <c:ser>
          <c:idx val="2"/>
          <c:order val="2"/>
          <c:tx>
            <c:v>Average</c:v>
          </c:tx>
          <c:spPr>
            <a:ln>
              <a:solidFill>
                <a:srgbClr val="FFFF0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Ranges!$C$31:$N$31</c:f>
              <c:numCache>
                <c:formatCode>General</c:formatCode>
                <c:ptCount val="12"/>
                <c:pt idx="0">
                  <c:v>87</c:v>
                </c:pt>
                <c:pt idx="1">
                  <c:v>87</c:v>
                </c:pt>
                <c:pt idx="2">
                  <c:v>87</c:v>
                </c:pt>
                <c:pt idx="3">
                  <c:v>87</c:v>
                </c:pt>
                <c:pt idx="4">
                  <c:v>87</c:v>
                </c:pt>
                <c:pt idx="5">
                  <c:v>87</c:v>
                </c:pt>
                <c:pt idx="6">
                  <c:v>87</c:v>
                </c:pt>
                <c:pt idx="7">
                  <c:v>87</c:v>
                </c:pt>
                <c:pt idx="8">
                  <c:v>87</c:v>
                </c:pt>
                <c:pt idx="9">
                  <c:v>87</c:v>
                </c:pt>
                <c:pt idx="10">
                  <c:v>87</c:v>
                </c:pt>
                <c:pt idx="11">
                  <c:v>87</c:v>
                </c:pt>
              </c:numCache>
            </c:numRef>
          </c:val>
          <c:smooth val="0"/>
          <c:extLst>
            <c:ext xmlns:c16="http://schemas.microsoft.com/office/drawing/2014/chart" uri="{C3380CC4-5D6E-409C-BE32-E72D297353CC}">
              <c16:uniqueId val="{00000002-DC7E-4E3E-86F6-201B9EC28483}"/>
            </c:ext>
          </c:extLst>
        </c:ser>
        <c:ser>
          <c:idx val="3"/>
          <c:order val="3"/>
          <c:tx>
            <c:v>High</c:v>
          </c:tx>
          <c:spPr>
            <a:ln>
              <a:solidFill>
                <a:srgbClr val="FF0000">
                  <a:alpha val="70000"/>
                </a:srgbClr>
              </a:solidFill>
            </a:ln>
          </c:spPr>
          <c:marker>
            <c:symbol val="none"/>
          </c:marker>
          <c:cat>
            <c:strRef>
              <c:f>'SmartNumbers2024-2025'!$B$6:$E$6</c:f>
              <c:strCache>
                <c:ptCount val="4"/>
                <c:pt idx="0">
                  <c:v>Q1 2024</c:v>
                </c:pt>
                <c:pt idx="1">
                  <c:v>Q2 2024</c:v>
                </c:pt>
                <c:pt idx="2">
                  <c:v>Q3 2024</c:v>
                </c:pt>
                <c:pt idx="3">
                  <c:v>Q4 2024</c:v>
                </c:pt>
              </c:strCache>
            </c:strRef>
          </c:cat>
          <c:val>
            <c:numRef>
              <c:f>Ranges!$C$32:$N$32</c:f>
              <c:numCache>
                <c:formatCode>General</c:formatCode>
                <c:ptCount val="12"/>
                <c:pt idx="0">
                  <c:v>115</c:v>
                </c:pt>
                <c:pt idx="1">
                  <c:v>115</c:v>
                </c:pt>
                <c:pt idx="2">
                  <c:v>115</c:v>
                </c:pt>
                <c:pt idx="3">
                  <c:v>115</c:v>
                </c:pt>
                <c:pt idx="4">
                  <c:v>115</c:v>
                </c:pt>
                <c:pt idx="5">
                  <c:v>115</c:v>
                </c:pt>
                <c:pt idx="6">
                  <c:v>115</c:v>
                </c:pt>
                <c:pt idx="7">
                  <c:v>115</c:v>
                </c:pt>
                <c:pt idx="8">
                  <c:v>115</c:v>
                </c:pt>
                <c:pt idx="9">
                  <c:v>115</c:v>
                </c:pt>
                <c:pt idx="10">
                  <c:v>115</c:v>
                </c:pt>
                <c:pt idx="11">
                  <c:v>115</c:v>
                </c:pt>
              </c:numCache>
            </c:numRef>
          </c:val>
          <c:smooth val="0"/>
          <c:extLst>
            <c:ext xmlns:c16="http://schemas.microsoft.com/office/drawing/2014/chart" uri="{C3380CC4-5D6E-409C-BE32-E72D297353CC}">
              <c16:uniqueId val="{00000003-DC7E-4E3E-86F6-201B9EC28483}"/>
            </c:ext>
          </c:extLst>
        </c:ser>
        <c:dLbls>
          <c:showLegendKey val="0"/>
          <c:showVal val="0"/>
          <c:showCatName val="0"/>
          <c:showSerName val="0"/>
          <c:showPercent val="0"/>
          <c:showBubbleSize val="0"/>
        </c:dLbls>
        <c:marker val="1"/>
        <c:smooth val="0"/>
        <c:axId val="385725080"/>
        <c:axId val="385725472"/>
      </c:lineChart>
      <c:catAx>
        <c:axId val="385725080"/>
        <c:scaling>
          <c:orientation val="minMax"/>
        </c:scaling>
        <c:delete val="0"/>
        <c:axPos val="b"/>
        <c:numFmt formatCode="General" sourceLinked="0"/>
        <c:majorTickMark val="none"/>
        <c:minorTickMark val="none"/>
        <c:tickLblPos val="nextTo"/>
        <c:crossAx val="385725472"/>
        <c:crosses val="autoZero"/>
        <c:auto val="1"/>
        <c:lblAlgn val="ctr"/>
        <c:lblOffset val="100"/>
        <c:noMultiLvlLbl val="0"/>
      </c:catAx>
      <c:valAx>
        <c:axId val="385725472"/>
        <c:scaling>
          <c:orientation val="minMax"/>
        </c:scaling>
        <c:delete val="0"/>
        <c:axPos val="l"/>
        <c:majorGridlines/>
        <c:numFmt formatCode="0" sourceLinked="1"/>
        <c:majorTickMark val="none"/>
        <c:minorTickMark val="none"/>
        <c:tickLblPos val="nextTo"/>
        <c:spPr>
          <a:ln w="9525">
            <a:noFill/>
          </a:ln>
        </c:spPr>
        <c:crossAx val="385725080"/>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SmartNumbers2025byMonth!$A$32</c:f>
              <c:strCache>
                <c:ptCount val="1"/>
                <c:pt idx="0">
                  <c:v># of first appointments</c:v>
                </c:pt>
              </c:strCache>
            </c:strRef>
          </c:tx>
          <c:invertIfNegative val="0"/>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SmartNumbers2025byMonth!$B$32:$M$32</c:f>
              <c:numCache>
                <c:formatCode>0</c:formatCode>
                <c:ptCount val="12"/>
                <c:pt idx="0">
                  <c:v>0</c:v>
                </c:pt>
                <c:pt idx="1">
                  <c:v>0</c:v>
                </c:pt>
                <c:pt idx="2">
                  <c:v>0</c:v>
                </c:pt>
                <c:pt idx="3">
                  <c:v>0</c:v>
                </c:pt>
                <c:pt idx="4">
                  <c:v>2</c:v>
                </c:pt>
                <c:pt idx="5">
                  <c:v>1</c:v>
                </c:pt>
                <c:pt idx="6">
                  <c:v>0</c:v>
                </c:pt>
                <c:pt idx="7">
                  <c:v>2</c:v>
                </c:pt>
                <c:pt idx="8">
                  <c:v>2</c:v>
                </c:pt>
                <c:pt idx="9">
                  <c:v>3</c:v>
                </c:pt>
                <c:pt idx="10">
                  <c:v>0</c:v>
                </c:pt>
                <c:pt idx="11">
                  <c:v>0</c:v>
                </c:pt>
              </c:numCache>
            </c:numRef>
          </c:val>
          <c:extLst>
            <c:ext xmlns:c16="http://schemas.microsoft.com/office/drawing/2014/chart" uri="{C3380CC4-5D6E-409C-BE32-E72D297353CC}">
              <c16:uniqueId val="{00000000-AA37-4487-9086-E5FB6A0C5B68}"/>
            </c:ext>
          </c:extLst>
        </c:ser>
        <c:dLbls>
          <c:showLegendKey val="0"/>
          <c:showVal val="0"/>
          <c:showCatName val="0"/>
          <c:showSerName val="0"/>
          <c:showPercent val="0"/>
          <c:showBubbleSize val="0"/>
        </c:dLbls>
        <c:gapWidth val="75"/>
        <c:overlap val="-25"/>
        <c:axId val="385726256"/>
        <c:axId val="385726648"/>
      </c:barChart>
      <c:catAx>
        <c:axId val="385726256"/>
        <c:scaling>
          <c:orientation val="minMax"/>
        </c:scaling>
        <c:delete val="0"/>
        <c:axPos val="b"/>
        <c:numFmt formatCode="General" sourceLinked="0"/>
        <c:majorTickMark val="none"/>
        <c:minorTickMark val="none"/>
        <c:tickLblPos val="nextTo"/>
        <c:crossAx val="385726648"/>
        <c:crosses val="autoZero"/>
        <c:auto val="1"/>
        <c:lblAlgn val="ctr"/>
        <c:lblOffset val="100"/>
        <c:noMultiLvlLbl val="0"/>
      </c:catAx>
      <c:valAx>
        <c:axId val="385726648"/>
        <c:scaling>
          <c:orientation val="minMax"/>
        </c:scaling>
        <c:delete val="0"/>
        <c:axPos val="l"/>
        <c:majorGridlines/>
        <c:numFmt formatCode="0" sourceLinked="1"/>
        <c:majorTickMark val="none"/>
        <c:minorTickMark val="none"/>
        <c:tickLblPos val="nextTo"/>
        <c:spPr>
          <a:ln w="9525">
            <a:noFill/>
          </a:ln>
        </c:spPr>
        <c:crossAx val="385726256"/>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Sales Call Close %</a:t>
            </a:r>
          </a:p>
        </c:rich>
      </c:tx>
      <c:overlay val="0"/>
    </c:title>
    <c:autoTitleDeleted val="0"/>
    <c:plotArea>
      <c:layout/>
      <c:barChart>
        <c:barDir val="col"/>
        <c:grouping val="clustered"/>
        <c:varyColors val="0"/>
        <c:ser>
          <c:idx val="0"/>
          <c:order val="0"/>
          <c:tx>
            <c:strRef>
              <c:f>SmartNumbers2025byMonth!$A$33</c:f>
              <c:strCache>
                <c:ptCount val="1"/>
                <c:pt idx="0">
                  <c:v>Sales Call Close %</c:v>
                </c:pt>
              </c:strCache>
            </c:strRef>
          </c:tx>
          <c:invertIfNegative val="0"/>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SmartNumbers2025byMonth!$B$33:$M$33</c:f>
              <c:numCache>
                <c:formatCode>0%</c:formatCode>
                <c:ptCount val="12"/>
                <c:pt idx="0">
                  <c:v>0</c:v>
                </c:pt>
                <c:pt idx="1">
                  <c:v>0</c:v>
                </c:pt>
                <c:pt idx="2">
                  <c:v>0</c:v>
                </c:pt>
                <c:pt idx="3">
                  <c:v>0</c:v>
                </c:pt>
                <c:pt idx="4">
                  <c:v>1</c:v>
                </c:pt>
                <c:pt idx="5">
                  <c:v>0</c:v>
                </c:pt>
                <c:pt idx="6">
                  <c:v>0</c:v>
                </c:pt>
                <c:pt idx="7">
                  <c:v>0.5</c:v>
                </c:pt>
                <c:pt idx="8">
                  <c:v>0.5</c:v>
                </c:pt>
                <c:pt idx="9">
                  <c:v>0</c:v>
                </c:pt>
                <c:pt idx="10">
                  <c:v>0</c:v>
                </c:pt>
                <c:pt idx="11">
                  <c:v>0</c:v>
                </c:pt>
              </c:numCache>
            </c:numRef>
          </c:val>
          <c:extLst>
            <c:ext xmlns:c16="http://schemas.microsoft.com/office/drawing/2014/chart" uri="{C3380CC4-5D6E-409C-BE32-E72D297353CC}">
              <c16:uniqueId val="{00000000-2AE9-4FC1-8D55-67B6F25BEBB2}"/>
            </c:ext>
          </c:extLst>
        </c:ser>
        <c:dLbls>
          <c:showLegendKey val="0"/>
          <c:showVal val="0"/>
          <c:showCatName val="0"/>
          <c:showSerName val="0"/>
          <c:showPercent val="0"/>
          <c:showBubbleSize val="0"/>
        </c:dLbls>
        <c:gapWidth val="75"/>
        <c:overlap val="-25"/>
        <c:axId val="431497656"/>
        <c:axId val="431498048"/>
      </c:barChart>
      <c:lineChart>
        <c:grouping val="standard"/>
        <c:varyColors val="0"/>
        <c:ser>
          <c:idx val="1"/>
          <c:order val="1"/>
          <c:tx>
            <c:v>Low</c:v>
          </c:tx>
          <c:spPr>
            <a:ln>
              <a:solidFill>
                <a:srgbClr val="FF0000">
                  <a:alpha val="70000"/>
                </a:srgbClr>
              </a:solidFill>
            </a:ln>
          </c:spPr>
          <c:marker>
            <c:symbol val="none"/>
          </c:marker>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Ranges!$C$34:$N$34</c:f>
              <c:numCache>
                <c:formatCode>0%</c:formatCode>
                <c:ptCount val="12"/>
                <c:pt idx="0">
                  <c:v>0.15</c:v>
                </c:pt>
                <c:pt idx="1">
                  <c:v>0.15</c:v>
                </c:pt>
                <c:pt idx="2">
                  <c:v>0.15</c:v>
                </c:pt>
                <c:pt idx="3">
                  <c:v>0.15</c:v>
                </c:pt>
                <c:pt idx="4">
                  <c:v>0.15</c:v>
                </c:pt>
                <c:pt idx="5">
                  <c:v>0.15</c:v>
                </c:pt>
                <c:pt idx="6">
                  <c:v>0.15</c:v>
                </c:pt>
                <c:pt idx="7">
                  <c:v>0.15</c:v>
                </c:pt>
                <c:pt idx="8">
                  <c:v>0.15</c:v>
                </c:pt>
                <c:pt idx="9">
                  <c:v>0.15</c:v>
                </c:pt>
                <c:pt idx="10">
                  <c:v>0.15</c:v>
                </c:pt>
                <c:pt idx="11">
                  <c:v>0.15</c:v>
                </c:pt>
              </c:numCache>
            </c:numRef>
          </c:val>
          <c:smooth val="0"/>
          <c:extLst>
            <c:ext xmlns:c16="http://schemas.microsoft.com/office/drawing/2014/chart" uri="{C3380CC4-5D6E-409C-BE32-E72D297353CC}">
              <c16:uniqueId val="{00000001-2AE9-4FC1-8D55-67B6F25BEBB2}"/>
            </c:ext>
          </c:extLst>
        </c:ser>
        <c:ser>
          <c:idx val="2"/>
          <c:order val="2"/>
          <c:tx>
            <c:v>Average</c:v>
          </c:tx>
          <c:spPr>
            <a:ln>
              <a:solidFill>
                <a:srgbClr val="FFFF00">
                  <a:alpha val="70000"/>
                </a:srgbClr>
              </a:solidFill>
            </a:ln>
          </c:spPr>
          <c:marker>
            <c:symbol val="none"/>
          </c:marker>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Ranges!$C$35:$N$35</c:f>
              <c:numCache>
                <c:formatCode>0%</c:formatCode>
                <c:ptCount val="12"/>
                <c:pt idx="0">
                  <c:v>0.2</c:v>
                </c:pt>
                <c:pt idx="1">
                  <c:v>0.2</c:v>
                </c:pt>
                <c:pt idx="2">
                  <c:v>0.2</c:v>
                </c:pt>
                <c:pt idx="3">
                  <c:v>0.2</c:v>
                </c:pt>
                <c:pt idx="4">
                  <c:v>0.2</c:v>
                </c:pt>
                <c:pt idx="5">
                  <c:v>0.2</c:v>
                </c:pt>
                <c:pt idx="6">
                  <c:v>0.2</c:v>
                </c:pt>
                <c:pt idx="7">
                  <c:v>0.2</c:v>
                </c:pt>
                <c:pt idx="8">
                  <c:v>0.2</c:v>
                </c:pt>
                <c:pt idx="9">
                  <c:v>0.2</c:v>
                </c:pt>
                <c:pt idx="10">
                  <c:v>0.2</c:v>
                </c:pt>
                <c:pt idx="11">
                  <c:v>0.2</c:v>
                </c:pt>
              </c:numCache>
            </c:numRef>
          </c:val>
          <c:smooth val="0"/>
          <c:extLst>
            <c:ext xmlns:c16="http://schemas.microsoft.com/office/drawing/2014/chart" uri="{C3380CC4-5D6E-409C-BE32-E72D297353CC}">
              <c16:uniqueId val="{00000002-2AE9-4FC1-8D55-67B6F25BEBB2}"/>
            </c:ext>
          </c:extLst>
        </c:ser>
        <c:ser>
          <c:idx val="3"/>
          <c:order val="3"/>
          <c:tx>
            <c:v>High</c:v>
          </c:tx>
          <c:spPr>
            <a:ln>
              <a:solidFill>
                <a:srgbClr val="92D050">
                  <a:alpha val="70000"/>
                </a:srgbClr>
              </a:solidFill>
            </a:ln>
          </c:spPr>
          <c:marker>
            <c:symbol val="none"/>
          </c:marker>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Ranges!$C$36:$N$36</c:f>
              <c:numCache>
                <c:formatCode>0%</c:formatCode>
                <c:ptCount val="12"/>
                <c:pt idx="0">
                  <c:v>0.3</c:v>
                </c:pt>
                <c:pt idx="1">
                  <c:v>0.3</c:v>
                </c:pt>
                <c:pt idx="2">
                  <c:v>0.3</c:v>
                </c:pt>
                <c:pt idx="3">
                  <c:v>0.3</c:v>
                </c:pt>
                <c:pt idx="4">
                  <c:v>0.3</c:v>
                </c:pt>
                <c:pt idx="5">
                  <c:v>0.3</c:v>
                </c:pt>
                <c:pt idx="6">
                  <c:v>0.3</c:v>
                </c:pt>
                <c:pt idx="7">
                  <c:v>0.3</c:v>
                </c:pt>
                <c:pt idx="8">
                  <c:v>0.3</c:v>
                </c:pt>
                <c:pt idx="9">
                  <c:v>0.3</c:v>
                </c:pt>
                <c:pt idx="10">
                  <c:v>0.3</c:v>
                </c:pt>
                <c:pt idx="11">
                  <c:v>0.3</c:v>
                </c:pt>
              </c:numCache>
            </c:numRef>
          </c:val>
          <c:smooth val="0"/>
          <c:extLst>
            <c:ext xmlns:c16="http://schemas.microsoft.com/office/drawing/2014/chart" uri="{C3380CC4-5D6E-409C-BE32-E72D297353CC}">
              <c16:uniqueId val="{00000003-2AE9-4FC1-8D55-67B6F25BEBB2}"/>
            </c:ext>
          </c:extLst>
        </c:ser>
        <c:dLbls>
          <c:showLegendKey val="0"/>
          <c:showVal val="0"/>
          <c:showCatName val="0"/>
          <c:showSerName val="0"/>
          <c:showPercent val="0"/>
          <c:showBubbleSize val="0"/>
        </c:dLbls>
        <c:marker val="1"/>
        <c:smooth val="0"/>
        <c:axId val="431497656"/>
        <c:axId val="431498048"/>
      </c:lineChart>
      <c:catAx>
        <c:axId val="431497656"/>
        <c:scaling>
          <c:orientation val="minMax"/>
        </c:scaling>
        <c:delete val="0"/>
        <c:axPos val="b"/>
        <c:numFmt formatCode="General" sourceLinked="0"/>
        <c:majorTickMark val="none"/>
        <c:minorTickMark val="none"/>
        <c:tickLblPos val="nextTo"/>
        <c:crossAx val="431498048"/>
        <c:crosses val="autoZero"/>
        <c:auto val="1"/>
        <c:lblAlgn val="ctr"/>
        <c:lblOffset val="100"/>
        <c:noMultiLvlLbl val="0"/>
      </c:catAx>
      <c:valAx>
        <c:axId val="431498048"/>
        <c:scaling>
          <c:orientation val="minMax"/>
        </c:scaling>
        <c:delete val="0"/>
        <c:axPos val="l"/>
        <c:majorGridlines/>
        <c:numFmt formatCode="0%" sourceLinked="1"/>
        <c:majorTickMark val="none"/>
        <c:minorTickMark val="none"/>
        <c:tickLblPos val="nextTo"/>
        <c:spPr>
          <a:ln w="9525">
            <a:noFill/>
          </a:ln>
        </c:spPr>
        <c:crossAx val="431497656"/>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Leverage/Employee</a:t>
            </a:r>
          </a:p>
        </c:rich>
      </c:tx>
      <c:overlay val="0"/>
    </c:title>
    <c:autoTitleDeleted val="0"/>
    <c:plotArea>
      <c:layout/>
      <c:barChart>
        <c:barDir val="col"/>
        <c:grouping val="clustered"/>
        <c:varyColors val="0"/>
        <c:ser>
          <c:idx val="0"/>
          <c:order val="0"/>
          <c:tx>
            <c:strRef>
              <c:f>SmartNumbers2025byMonth!$A$22</c:f>
              <c:strCache>
                <c:ptCount val="1"/>
                <c:pt idx="0">
                  <c:v>Annualized Service Revenue / Employee</c:v>
                </c:pt>
              </c:strCache>
            </c:strRef>
          </c:tx>
          <c:invertIfNegative val="0"/>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SmartNumbers2025byMonth!$B$22:$M$22</c:f>
              <c:numCache>
                <c:formatCode>"$"#,##0</c:formatCode>
                <c:ptCount val="12"/>
                <c:pt idx="0">
                  <c:v>191743.44</c:v>
                </c:pt>
                <c:pt idx="1">
                  <c:v>260381.18117647059</c:v>
                </c:pt>
                <c:pt idx="2">
                  <c:v>210329.26588235292</c:v>
                </c:pt>
                <c:pt idx="3">
                  <c:v>207313.34117647063</c:v>
                </c:pt>
                <c:pt idx="4">
                  <c:v>221647.97647058824</c:v>
                </c:pt>
                <c:pt idx="5">
                  <c:v>185208.66352941177</c:v>
                </c:pt>
                <c:pt idx="6">
                  <c:v>193322.4705882353</c:v>
                </c:pt>
                <c:pt idx="7">
                  <c:v>194588.24470588239</c:v>
                </c:pt>
                <c:pt idx="8">
                  <c:v>221179.84000000003</c:v>
                </c:pt>
                <c:pt idx="9">
                  <c:v>201653.54823529412</c:v>
                </c:pt>
                <c:pt idx="10">
                  <c:v>0</c:v>
                </c:pt>
                <c:pt idx="11">
                  <c:v>0</c:v>
                </c:pt>
              </c:numCache>
            </c:numRef>
          </c:val>
          <c:extLst>
            <c:ext xmlns:c16="http://schemas.microsoft.com/office/drawing/2014/chart" uri="{C3380CC4-5D6E-409C-BE32-E72D297353CC}">
              <c16:uniqueId val="{00000000-49D3-43B8-A47D-AC84CF36666D}"/>
            </c:ext>
          </c:extLst>
        </c:ser>
        <c:dLbls>
          <c:showLegendKey val="0"/>
          <c:showVal val="0"/>
          <c:showCatName val="0"/>
          <c:showSerName val="0"/>
          <c:showPercent val="0"/>
          <c:showBubbleSize val="0"/>
        </c:dLbls>
        <c:gapWidth val="75"/>
        <c:overlap val="-25"/>
        <c:axId val="431498832"/>
        <c:axId val="431499224"/>
      </c:barChart>
      <c:lineChart>
        <c:grouping val="standard"/>
        <c:varyColors val="0"/>
        <c:ser>
          <c:idx val="1"/>
          <c:order val="1"/>
          <c:tx>
            <c:v>Low</c:v>
          </c:tx>
          <c:spPr>
            <a:ln>
              <a:solidFill>
                <a:srgbClr val="FF0000">
                  <a:alpha val="70000"/>
                </a:srgbClr>
              </a:solidFill>
            </a:ln>
          </c:spPr>
          <c:marker>
            <c:symbol val="none"/>
          </c:marker>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Ranges!$C$38:$N$38</c:f>
              <c:numCache>
                <c:formatCode>"$"#,##0.00</c:formatCode>
                <c:ptCount val="12"/>
                <c:pt idx="0">
                  <c:v>125000</c:v>
                </c:pt>
                <c:pt idx="1">
                  <c:v>125000</c:v>
                </c:pt>
                <c:pt idx="2">
                  <c:v>125000</c:v>
                </c:pt>
                <c:pt idx="3">
                  <c:v>125000</c:v>
                </c:pt>
                <c:pt idx="4">
                  <c:v>125000</c:v>
                </c:pt>
                <c:pt idx="5">
                  <c:v>125000</c:v>
                </c:pt>
                <c:pt idx="6">
                  <c:v>125000</c:v>
                </c:pt>
                <c:pt idx="7">
                  <c:v>125000</c:v>
                </c:pt>
                <c:pt idx="8">
                  <c:v>125000</c:v>
                </c:pt>
                <c:pt idx="9">
                  <c:v>125000</c:v>
                </c:pt>
                <c:pt idx="10">
                  <c:v>125000</c:v>
                </c:pt>
                <c:pt idx="11">
                  <c:v>125000</c:v>
                </c:pt>
              </c:numCache>
            </c:numRef>
          </c:val>
          <c:smooth val="0"/>
          <c:extLst>
            <c:ext xmlns:c16="http://schemas.microsoft.com/office/drawing/2014/chart" uri="{C3380CC4-5D6E-409C-BE32-E72D297353CC}">
              <c16:uniqueId val="{00000001-49D3-43B8-A47D-AC84CF36666D}"/>
            </c:ext>
          </c:extLst>
        </c:ser>
        <c:ser>
          <c:idx val="2"/>
          <c:order val="2"/>
          <c:tx>
            <c:v>Average</c:v>
          </c:tx>
          <c:spPr>
            <a:ln>
              <a:solidFill>
                <a:srgbClr val="FFFF00">
                  <a:alpha val="70000"/>
                </a:srgbClr>
              </a:solidFill>
            </a:ln>
          </c:spPr>
          <c:marker>
            <c:symbol val="none"/>
          </c:marker>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Ranges!$C$39:$N$39</c:f>
              <c:numCache>
                <c:formatCode>"$"#,##0.00</c:formatCode>
                <c:ptCount val="12"/>
                <c:pt idx="0">
                  <c:v>150000</c:v>
                </c:pt>
                <c:pt idx="1">
                  <c:v>150000</c:v>
                </c:pt>
                <c:pt idx="2">
                  <c:v>150000</c:v>
                </c:pt>
                <c:pt idx="3">
                  <c:v>150000</c:v>
                </c:pt>
                <c:pt idx="4">
                  <c:v>150000</c:v>
                </c:pt>
                <c:pt idx="5">
                  <c:v>150000</c:v>
                </c:pt>
                <c:pt idx="6">
                  <c:v>150000</c:v>
                </c:pt>
                <c:pt idx="7">
                  <c:v>150000</c:v>
                </c:pt>
                <c:pt idx="8">
                  <c:v>150000</c:v>
                </c:pt>
                <c:pt idx="9">
                  <c:v>150000</c:v>
                </c:pt>
                <c:pt idx="10">
                  <c:v>150000</c:v>
                </c:pt>
                <c:pt idx="11">
                  <c:v>150000</c:v>
                </c:pt>
              </c:numCache>
            </c:numRef>
          </c:val>
          <c:smooth val="0"/>
          <c:extLst>
            <c:ext xmlns:c16="http://schemas.microsoft.com/office/drawing/2014/chart" uri="{C3380CC4-5D6E-409C-BE32-E72D297353CC}">
              <c16:uniqueId val="{00000002-49D3-43B8-A47D-AC84CF36666D}"/>
            </c:ext>
          </c:extLst>
        </c:ser>
        <c:ser>
          <c:idx val="3"/>
          <c:order val="3"/>
          <c:tx>
            <c:v>High</c:v>
          </c:tx>
          <c:spPr>
            <a:ln>
              <a:solidFill>
                <a:srgbClr val="92D050">
                  <a:alpha val="70000"/>
                </a:srgbClr>
              </a:solidFill>
            </a:ln>
          </c:spPr>
          <c:marker>
            <c:symbol val="none"/>
          </c:marker>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Ranges!$C$40:$N$40</c:f>
              <c:numCache>
                <c:formatCode>"$"#,##0.00</c:formatCode>
                <c:ptCount val="12"/>
                <c:pt idx="0">
                  <c:v>175000</c:v>
                </c:pt>
                <c:pt idx="1">
                  <c:v>175000</c:v>
                </c:pt>
                <c:pt idx="2">
                  <c:v>175000</c:v>
                </c:pt>
                <c:pt idx="3">
                  <c:v>175000</c:v>
                </c:pt>
                <c:pt idx="4">
                  <c:v>175000</c:v>
                </c:pt>
                <c:pt idx="5">
                  <c:v>175000</c:v>
                </c:pt>
                <c:pt idx="6">
                  <c:v>175000</c:v>
                </c:pt>
                <c:pt idx="7">
                  <c:v>175000</c:v>
                </c:pt>
                <c:pt idx="8">
                  <c:v>175000</c:v>
                </c:pt>
                <c:pt idx="9">
                  <c:v>175000</c:v>
                </c:pt>
                <c:pt idx="10">
                  <c:v>175000</c:v>
                </c:pt>
                <c:pt idx="11">
                  <c:v>175000</c:v>
                </c:pt>
              </c:numCache>
            </c:numRef>
          </c:val>
          <c:smooth val="0"/>
          <c:extLst>
            <c:ext xmlns:c16="http://schemas.microsoft.com/office/drawing/2014/chart" uri="{C3380CC4-5D6E-409C-BE32-E72D297353CC}">
              <c16:uniqueId val="{00000003-49D3-43B8-A47D-AC84CF36666D}"/>
            </c:ext>
          </c:extLst>
        </c:ser>
        <c:dLbls>
          <c:showLegendKey val="0"/>
          <c:showVal val="0"/>
          <c:showCatName val="0"/>
          <c:showSerName val="0"/>
          <c:showPercent val="0"/>
          <c:showBubbleSize val="0"/>
        </c:dLbls>
        <c:marker val="1"/>
        <c:smooth val="0"/>
        <c:axId val="431498832"/>
        <c:axId val="431499224"/>
      </c:lineChart>
      <c:catAx>
        <c:axId val="431498832"/>
        <c:scaling>
          <c:orientation val="minMax"/>
        </c:scaling>
        <c:delete val="0"/>
        <c:axPos val="b"/>
        <c:numFmt formatCode="General" sourceLinked="0"/>
        <c:majorTickMark val="none"/>
        <c:minorTickMark val="none"/>
        <c:tickLblPos val="nextTo"/>
        <c:crossAx val="431499224"/>
        <c:crosses val="autoZero"/>
        <c:auto val="1"/>
        <c:lblAlgn val="ctr"/>
        <c:lblOffset val="100"/>
        <c:noMultiLvlLbl val="0"/>
      </c:catAx>
      <c:valAx>
        <c:axId val="431499224"/>
        <c:scaling>
          <c:orientation val="minMax"/>
        </c:scaling>
        <c:delete val="0"/>
        <c:axPos val="l"/>
        <c:majorGridlines/>
        <c:numFmt formatCode="&quot;$&quot;#,##0" sourceLinked="1"/>
        <c:majorTickMark val="none"/>
        <c:minorTickMark val="none"/>
        <c:tickLblPos val="nextTo"/>
        <c:spPr>
          <a:ln w="9525">
            <a:noFill/>
          </a:ln>
        </c:spPr>
        <c:crossAx val="431498832"/>
        <c:crosses val="autoZero"/>
        <c:crossBetween val="between"/>
      </c:valAx>
    </c:plotArea>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Leverage / Engineer</a:t>
            </a:r>
          </a:p>
        </c:rich>
      </c:tx>
      <c:overlay val="0"/>
    </c:title>
    <c:autoTitleDeleted val="0"/>
    <c:plotArea>
      <c:layout/>
      <c:barChart>
        <c:barDir val="col"/>
        <c:grouping val="clustered"/>
        <c:varyColors val="0"/>
        <c:ser>
          <c:idx val="0"/>
          <c:order val="0"/>
          <c:tx>
            <c:strRef>
              <c:f>SmartNumbers2025byMonth!$A$23</c:f>
              <c:strCache>
                <c:ptCount val="1"/>
                <c:pt idx="0">
                  <c:v>Annualized Service Revenue / Technical Employee</c:v>
                </c:pt>
              </c:strCache>
            </c:strRef>
          </c:tx>
          <c:invertIfNegative val="0"/>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SmartNumbers2025byMonth!$B$23:$M$23</c:f>
              <c:numCache>
                <c:formatCode>"$"#,##0</c:formatCode>
                <c:ptCount val="12"/>
                <c:pt idx="0">
                  <c:v>296330.77090909088</c:v>
                </c:pt>
                <c:pt idx="1">
                  <c:v>402407.27999999991</c:v>
                </c:pt>
                <c:pt idx="2">
                  <c:v>325054.31999999995</c:v>
                </c:pt>
                <c:pt idx="3">
                  <c:v>320393.34545454546</c:v>
                </c:pt>
                <c:pt idx="4">
                  <c:v>342546.8727272728</c:v>
                </c:pt>
                <c:pt idx="5">
                  <c:v>286231.57090909092</c:v>
                </c:pt>
                <c:pt idx="6">
                  <c:v>298771.09090909088</c:v>
                </c:pt>
                <c:pt idx="7">
                  <c:v>300727.28727272735</c:v>
                </c:pt>
                <c:pt idx="8">
                  <c:v>368633.06666666671</c:v>
                </c:pt>
                <c:pt idx="9">
                  <c:v>311646.3927272727</c:v>
                </c:pt>
                <c:pt idx="10">
                  <c:v>0</c:v>
                </c:pt>
                <c:pt idx="11">
                  <c:v>0</c:v>
                </c:pt>
              </c:numCache>
            </c:numRef>
          </c:val>
          <c:extLst>
            <c:ext xmlns:c16="http://schemas.microsoft.com/office/drawing/2014/chart" uri="{C3380CC4-5D6E-409C-BE32-E72D297353CC}">
              <c16:uniqueId val="{00000000-71C8-4172-A8AB-8E460C6C1A4D}"/>
            </c:ext>
          </c:extLst>
        </c:ser>
        <c:dLbls>
          <c:showLegendKey val="0"/>
          <c:showVal val="0"/>
          <c:showCatName val="0"/>
          <c:showSerName val="0"/>
          <c:showPercent val="0"/>
          <c:showBubbleSize val="0"/>
        </c:dLbls>
        <c:gapWidth val="75"/>
        <c:overlap val="-25"/>
        <c:axId val="431500008"/>
        <c:axId val="431500400"/>
      </c:barChart>
      <c:lineChart>
        <c:grouping val="standard"/>
        <c:varyColors val="0"/>
        <c:ser>
          <c:idx val="1"/>
          <c:order val="1"/>
          <c:tx>
            <c:v>Low</c:v>
          </c:tx>
          <c:spPr>
            <a:ln>
              <a:solidFill>
                <a:srgbClr val="FF0000">
                  <a:alpha val="70000"/>
                </a:srgbClr>
              </a:solidFill>
            </a:ln>
          </c:spPr>
          <c:marker>
            <c:symbol val="none"/>
          </c:marker>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Ranges!$C$42:$N$42</c:f>
              <c:numCache>
                <c:formatCode>"$"#,##0.00</c:formatCode>
                <c:ptCount val="12"/>
                <c:pt idx="0">
                  <c:v>180000</c:v>
                </c:pt>
                <c:pt idx="1">
                  <c:v>180000</c:v>
                </c:pt>
                <c:pt idx="2">
                  <c:v>180000</c:v>
                </c:pt>
                <c:pt idx="3">
                  <c:v>180000</c:v>
                </c:pt>
                <c:pt idx="4">
                  <c:v>180000</c:v>
                </c:pt>
                <c:pt idx="5">
                  <c:v>180000</c:v>
                </c:pt>
                <c:pt idx="6">
                  <c:v>180000</c:v>
                </c:pt>
                <c:pt idx="7">
                  <c:v>180000</c:v>
                </c:pt>
                <c:pt idx="8">
                  <c:v>180000</c:v>
                </c:pt>
                <c:pt idx="9">
                  <c:v>180000</c:v>
                </c:pt>
                <c:pt idx="10">
                  <c:v>180000</c:v>
                </c:pt>
                <c:pt idx="11">
                  <c:v>180000</c:v>
                </c:pt>
              </c:numCache>
            </c:numRef>
          </c:val>
          <c:smooth val="0"/>
          <c:extLst>
            <c:ext xmlns:c16="http://schemas.microsoft.com/office/drawing/2014/chart" uri="{C3380CC4-5D6E-409C-BE32-E72D297353CC}">
              <c16:uniqueId val="{00000001-71C8-4172-A8AB-8E460C6C1A4D}"/>
            </c:ext>
          </c:extLst>
        </c:ser>
        <c:ser>
          <c:idx val="2"/>
          <c:order val="2"/>
          <c:tx>
            <c:v>Average</c:v>
          </c:tx>
          <c:spPr>
            <a:ln>
              <a:solidFill>
                <a:srgbClr val="FFFF00">
                  <a:alpha val="70000"/>
                </a:srgbClr>
              </a:solidFill>
            </a:ln>
          </c:spPr>
          <c:marker>
            <c:symbol val="none"/>
          </c:marker>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Ranges!$C$43:$N$43</c:f>
              <c:numCache>
                <c:formatCode>"$"#,##0.00</c:formatCode>
                <c:ptCount val="12"/>
                <c:pt idx="0">
                  <c:v>250000</c:v>
                </c:pt>
                <c:pt idx="1">
                  <c:v>250000</c:v>
                </c:pt>
                <c:pt idx="2">
                  <c:v>250000</c:v>
                </c:pt>
                <c:pt idx="3">
                  <c:v>250000</c:v>
                </c:pt>
                <c:pt idx="4">
                  <c:v>250000</c:v>
                </c:pt>
                <c:pt idx="5">
                  <c:v>250000</c:v>
                </c:pt>
                <c:pt idx="6">
                  <c:v>250000</c:v>
                </c:pt>
                <c:pt idx="7">
                  <c:v>250000</c:v>
                </c:pt>
                <c:pt idx="8">
                  <c:v>250000</c:v>
                </c:pt>
                <c:pt idx="9">
                  <c:v>250000</c:v>
                </c:pt>
                <c:pt idx="10">
                  <c:v>250000</c:v>
                </c:pt>
                <c:pt idx="11">
                  <c:v>250000</c:v>
                </c:pt>
              </c:numCache>
            </c:numRef>
          </c:val>
          <c:smooth val="0"/>
          <c:extLst>
            <c:ext xmlns:c16="http://schemas.microsoft.com/office/drawing/2014/chart" uri="{C3380CC4-5D6E-409C-BE32-E72D297353CC}">
              <c16:uniqueId val="{00000002-71C8-4172-A8AB-8E460C6C1A4D}"/>
            </c:ext>
          </c:extLst>
        </c:ser>
        <c:ser>
          <c:idx val="3"/>
          <c:order val="3"/>
          <c:tx>
            <c:v>High</c:v>
          </c:tx>
          <c:spPr>
            <a:ln>
              <a:solidFill>
                <a:srgbClr val="92D050">
                  <a:alpha val="70000"/>
                </a:srgbClr>
              </a:solidFill>
            </a:ln>
          </c:spPr>
          <c:marker>
            <c:symbol val="none"/>
          </c:marker>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Ranges!$C$44:$N$44</c:f>
              <c:numCache>
                <c:formatCode>"$"#,##0.00</c:formatCode>
                <c:ptCount val="12"/>
                <c:pt idx="0">
                  <c:v>300000</c:v>
                </c:pt>
                <c:pt idx="1">
                  <c:v>300000</c:v>
                </c:pt>
                <c:pt idx="2">
                  <c:v>300000</c:v>
                </c:pt>
                <c:pt idx="3">
                  <c:v>300000</c:v>
                </c:pt>
                <c:pt idx="4">
                  <c:v>300000</c:v>
                </c:pt>
                <c:pt idx="5">
                  <c:v>300000</c:v>
                </c:pt>
                <c:pt idx="6">
                  <c:v>300000</c:v>
                </c:pt>
                <c:pt idx="7">
                  <c:v>300000</c:v>
                </c:pt>
                <c:pt idx="8">
                  <c:v>300000</c:v>
                </c:pt>
                <c:pt idx="9">
                  <c:v>300000</c:v>
                </c:pt>
                <c:pt idx="10">
                  <c:v>300000</c:v>
                </c:pt>
                <c:pt idx="11">
                  <c:v>300000</c:v>
                </c:pt>
              </c:numCache>
            </c:numRef>
          </c:val>
          <c:smooth val="0"/>
          <c:extLst>
            <c:ext xmlns:c16="http://schemas.microsoft.com/office/drawing/2014/chart" uri="{C3380CC4-5D6E-409C-BE32-E72D297353CC}">
              <c16:uniqueId val="{00000003-71C8-4172-A8AB-8E460C6C1A4D}"/>
            </c:ext>
          </c:extLst>
        </c:ser>
        <c:dLbls>
          <c:showLegendKey val="0"/>
          <c:showVal val="0"/>
          <c:showCatName val="0"/>
          <c:showSerName val="0"/>
          <c:showPercent val="0"/>
          <c:showBubbleSize val="0"/>
        </c:dLbls>
        <c:marker val="1"/>
        <c:smooth val="0"/>
        <c:axId val="431500008"/>
        <c:axId val="431500400"/>
      </c:lineChart>
      <c:catAx>
        <c:axId val="431500008"/>
        <c:scaling>
          <c:orientation val="minMax"/>
        </c:scaling>
        <c:delete val="0"/>
        <c:axPos val="b"/>
        <c:numFmt formatCode="General" sourceLinked="0"/>
        <c:majorTickMark val="none"/>
        <c:minorTickMark val="none"/>
        <c:tickLblPos val="nextTo"/>
        <c:crossAx val="431500400"/>
        <c:crosses val="autoZero"/>
        <c:auto val="1"/>
        <c:lblAlgn val="ctr"/>
        <c:lblOffset val="100"/>
        <c:noMultiLvlLbl val="0"/>
      </c:catAx>
      <c:valAx>
        <c:axId val="431500400"/>
        <c:scaling>
          <c:orientation val="minMax"/>
        </c:scaling>
        <c:delete val="0"/>
        <c:axPos val="l"/>
        <c:majorGridlines/>
        <c:numFmt formatCode="&quot;$&quot;#,##0" sourceLinked="1"/>
        <c:majorTickMark val="none"/>
        <c:minorTickMark val="none"/>
        <c:tickLblPos val="nextTo"/>
        <c:spPr>
          <a:ln w="9525">
            <a:noFill/>
          </a:ln>
        </c:spPr>
        <c:crossAx val="431500008"/>
        <c:crosses val="autoZero"/>
        <c:crossBetween val="between"/>
      </c:valAx>
    </c:plotArea>
    <c:plotVisOnly val="1"/>
    <c:dispBlanksAs val="gap"/>
    <c:showDLblsOverMax val="0"/>
  </c:chart>
  <c:printSettings>
    <c:headerFooter/>
    <c:pageMargins b="0.75000000000000033" l="0.70000000000000029" r="0.70000000000000029" t="0.75000000000000033" header="0.30000000000000016" footer="0.30000000000000016"/>
    <c:pageSetup orientation="landscape"/>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title>
    <c:autoTitleDeleted val="0"/>
    <c:plotArea>
      <c:layout/>
      <c:barChart>
        <c:barDir val="col"/>
        <c:grouping val="clustered"/>
        <c:varyColors val="0"/>
        <c:ser>
          <c:idx val="0"/>
          <c:order val="0"/>
          <c:tx>
            <c:strRef>
              <c:f>SmartNumbers2025byMonth!$A$30</c:f>
              <c:strCache>
                <c:ptCount val="1"/>
                <c:pt idx="0">
                  <c:v>Net MRR gain</c:v>
                </c:pt>
              </c:strCache>
            </c:strRef>
          </c:tx>
          <c:invertIfNegative val="0"/>
          <c:cat>
            <c:strRef>
              <c:f>SmartNumbers2025byMonth!$B$6:$M$6</c:f>
              <c:strCache>
                <c:ptCount val="12"/>
                <c:pt idx="0">
                  <c:v>Jan</c:v>
                </c:pt>
                <c:pt idx="1">
                  <c:v>Feb</c:v>
                </c:pt>
                <c:pt idx="2">
                  <c:v>Mar</c:v>
                </c:pt>
                <c:pt idx="3">
                  <c:v>Apr</c:v>
                </c:pt>
                <c:pt idx="4">
                  <c:v>May</c:v>
                </c:pt>
                <c:pt idx="5">
                  <c:v>June</c:v>
                </c:pt>
                <c:pt idx="6">
                  <c:v>July</c:v>
                </c:pt>
                <c:pt idx="7">
                  <c:v>August</c:v>
                </c:pt>
                <c:pt idx="8">
                  <c:v>Sept</c:v>
                </c:pt>
                <c:pt idx="9">
                  <c:v>Oct</c:v>
                </c:pt>
                <c:pt idx="10">
                  <c:v>Nov</c:v>
                </c:pt>
                <c:pt idx="11">
                  <c:v>Dec</c:v>
                </c:pt>
              </c:strCache>
            </c:strRef>
          </c:cat>
          <c:val>
            <c:numRef>
              <c:f>SmartNumbers2025byMonth!$B$30:$M$30</c:f>
              <c:numCache>
                <c:formatCode>"$"#,##0.00</c:formatCode>
                <c:ptCount val="12"/>
                <c:pt idx="0">
                  <c:v>0</c:v>
                </c:pt>
                <c:pt idx="1">
                  <c:v>-182.4</c:v>
                </c:pt>
                <c:pt idx="2">
                  <c:v>0</c:v>
                </c:pt>
                <c:pt idx="3">
                  <c:v>813</c:v>
                </c:pt>
                <c:pt idx="4">
                  <c:v>-265</c:v>
                </c:pt>
                <c:pt idx="5">
                  <c:v>0</c:v>
                </c:pt>
                <c:pt idx="6">
                  <c:v>0</c:v>
                </c:pt>
                <c:pt idx="7">
                  <c:v>-10022</c:v>
                </c:pt>
                <c:pt idx="8">
                  <c:v>34.919999999999959</c:v>
                </c:pt>
                <c:pt idx="9">
                  <c:v>0</c:v>
                </c:pt>
                <c:pt idx="10">
                  <c:v>0</c:v>
                </c:pt>
                <c:pt idx="11">
                  <c:v>0</c:v>
                </c:pt>
              </c:numCache>
            </c:numRef>
          </c:val>
          <c:extLst>
            <c:ext xmlns:c16="http://schemas.microsoft.com/office/drawing/2014/chart" uri="{C3380CC4-5D6E-409C-BE32-E72D297353CC}">
              <c16:uniqueId val="{00000000-11D6-4A4C-B83C-D281D1F80522}"/>
            </c:ext>
          </c:extLst>
        </c:ser>
        <c:dLbls>
          <c:showLegendKey val="0"/>
          <c:showVal val="0"/>
          <c:showCatName val="0"/>
          <c:showSerName val="0"/>
          <c:showPercent val="0"/>
          <c:showBubbleSize val="0"/>
        </c:dLbls>
        <c:gapWidth val="75"/>
        <c:overlap val="-25"/>
        <c:axId val="528302176"/>
        <c:axId val="528302568"/>
      </c:barChart>
      <c:catAx>
        <c:axId val="528302176"/>
        <c:scaling>
          <c:orientation val="minMax"/>
        </c:scaling>
        <c:delete val="0"/>
        <c:axPos val="b"/>
        <c:numFmt formatCode="General" sourceLinked="0"/>
        <c:majorTickMark val="none"/>
        <c:minorTickMark val="none"/>
        <c:tickLblPos val="nextTo"/>
        <c:crossAx val="528302568"/>
        <c:crosses val="autoZero"/>
        <c:auto val="1"/>
        <c:lblAlgn val="ctr"/>
        <c:lblOffset val="100"/>
        <c:noMultiLvlLbl val="0"/>
      </c:catAx>
      <c:valAx>
        <c:axId val="528302568"/>
        <c:scaling>
          <c:orientation val="minMax"/>
        </c:scaling>
        <c:delete val="0"/>
        <c:axPos val="l"/>
        <c:majorGridlines/>
        <c:numFmt formatCode="&quot;$&quot;#,##0.00" sourceLinked="1"/>
        <c:majorTickMark val="none"/>
        <c:minorTickMark val="none"/>
        <c:tickLblPos val="nextTo"/>
        <c:crossAx val="528302176"/>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image" Target="../media/image5.png"/><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chart" Target="../charts/chart29.xml"/><Relationship Id="rId3" Type="http://schemas.openxmlformats.org/officeDocument/2006/relationships/chart" Target="../charts/chart19.xml"/><Relationship Id="rId7" Type="http://schemas.openxmlformats.org/officeDocument/2006/relationships/chart" Target="../charts/chart23.xml"/><Relationship Id="rId12" Type="http://schemas.openxmlformats.org/officeDocument/2006/relationships/chart" Target="../charts/chart28.xml"/><Relationship Id="rId17" Type="http://schemas.openxmlformats.org/officeDocument/2006/relationships/image" Target="../media/image5.png"/><Relationship Id="rId2" Type="http://schemas.openxmlformats.org/officeDocument/2006/relationships/chart" Target="../charts/chart18.xml"/><Relationship Id="rId16" Type="http://schemas.openxmlformats.org/officeDocument/2006/relationships/chart" Target="../charts/chart32.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5" Type="http://schemas.openxmlformats.org/officeDocument/2006/relationships/chart" Target="../charts/chart3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 Id="rId14" Type="http://schemas.openxmlformats.org/officeDocument/2006/relationships/chart" Target="../charts/chart3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40.xml"/><Relationship Id="rId13" Type="http://schemas.openxmlformats.org/officeDocument/2006/relationships/chart" Target="../charts/chart45.xml"/><Relationship Id="rId3" Type="http://schemas.openxmlformats.org/officeDocument/2006/relationships/chart" Target="../charts/chart35.xml"/><Relationship Id="rId7" Type="http://schemas.openxmlformats.org/officeDocument/2006/relationships/chart" Target="../charts/chart39.xml"/><Relationship Id="rId12" Type="http://schemas.openxmlformats.org/officeDocument/2006/relationships/chart" Target="../charts/chart44.xml"/><Relationship Id="rId17" Type="http://schemas.openxmlformats.org/officeDocument/2006/relationships/image" Target="../media/image5.png"/><Relationship Id="rId2" Type="http://schemas.openxmlformats.org/officeDocument/2006/relationships/chart" Target="../charts/chart34.xml"/><Relationship Id="rId16" Type="http://schemas.openxmlformats.org/officeDocument/2006/relationships/chart" Target="../charts/chart48.xml"/><Relationship Id="rId1" Type="http://schemas.openxmlformats.org/officeDocument/2006/relationships/chart" Target="../charts/chart33.xml"/><Relationship Id="rId6" Type="http://schemas.openxmlformats.org/officeDocument/2006/relationships/chart" Target="../charts/chart38.xml"/><Relationship Id="rId11" Type="http://schemas.openxmlformats.org/officeDocument/2006/relationships/chart" Target="../charts/chart43.xml"/><Relationship Id="rId5" Type="http://schemas.openxmlformats.org/officeDocument/2006/relationships/chart" Target="../charts/chart37.xml"/><Relationship Id="rId15" Type="http://schemas.openxmlformats.org/officeDocument/2006/relationships/chart" Target="../charts/chart47.xml"/><Relationship Id="rId10" Type="http://schemas.openxmlformats.org/officeDocument/2006/relationships/chart" Target="../charts/chart42.xml"/><Relationship Id="rId4" Type="http://schemas.openxmlformats.org/officeDocument/2006/relationships/chart" Target="../charts/chart36.xml"/><Relationship Id="rId9" Type="http://schemas.openxmlformats.org/officeDocument/2006/relationships/chart" Target="../charts/chart41.xml"/><Relationship Id="rId14"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500063</xdr:colOff>
      <xdr:row>2</xdr:row>
      <xdr:rowOff>31133</xdr:rowOff>
    </xdr:to>
    <xdr:pic>
      <xdr:nvPicPr>
        <xdr:cNvPr id="6" name="Picture 5">
          <a:extLst>
            <a:ext uri="{FF2B5EF4-FFF2-40B4-BE49-F238E27FC236}">
              <a16:creationId xmlns:a16="http://schemas.microsoft.com/office/drawing/2014/main" id="{5A4F411E-B204-40A9-ACA4-C474807471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111250" cy="11106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1111250</xdr:colOff>
      <xdr:row>1</xdr:row>
      <xdr:rowOff>101629</xdr:rowOff>
    </xdr:to>
    <xdr:pic>
      <xdr:nvPicPr>
        <xdr:cNvPr id="3" name="Picture 2">
          <a:extLst>
            <a:ext uri="{FF2B5EF4-FFF2-40B4-BE49-F238E27FC236}">
              <a16:creationId xmlns:a16="http://schemas.microsoft.com/office/drawing/2014/main" id="{235D7B33-9D99-451E-9B9E-B890C432D5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11250" cy="11106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739775</xdr:colOff>
      <xdr:row>1</xdr:row>
      <xdr:rowOff>100983</xdr:rowOff>
    </xdr:to>
    <xdr:pic>
      <xdr:nvPicPr>
        <xdr:cNvPr id="3" name="Picture 2">
          <a:extLst>
            <a:ext uri="{FF2B5EF4-FFF2-40B4-BE49-F238E27FC236}">
              <a16:creationId xmlns:a16="http://schemas.microsoft.com/office/drawing/2014/main" id="{296AE869-A0A1-4443-8360-CF416217A0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11250" cy="11106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952500</xdr:colOff>
      <xdr:row>1</xdr:row>
      <xdr:rowOff>75671</xdr:rowOff>
    </xdr:to>
    <xdr:pic>
      <xdr:nvPicPr>
        <xdr:cNvPr id="3" name="Picture 2">
          <a:extLst>
            <a:ext uri="{FF2B5EF4-FFF2-40B4-BE49-F238E27FC236}">
              <a16:creationId xmlns:a16="http://schemas.microsoft.com/office/drawing/2014/main" id="{312EDF63-99C4-43EB-B0DD-13EA9EDB03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52500" cy="9519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933450</xdr:colOff>
      <xdr:row>1</xdr:row>
      <xdr:rowOff>56633</xdr:rowOff>
    </xdr:to>
    <xdr:pic>
      <xdr:nvPicPr>
        <xdr:cNvPr id="3" name="Picture 2">
          <a:extLst>
            <a:ext uri="{FF2B5EF4-FFF2-40B4-BE49-F238E27FC236}">
              <a16:creationId xmlns:a16="http://schemas.microsoft.com/office/drawing/2014/main" id="{D554DD78-F640-40AA-8FB9-5303C98C91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933450" cy="9329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912813</xdr:colOff>
      <xdr:row>1</xdr:row>
      <xdr:rowOff>39182</xdr:rowOff>
    </xdr:to>
    <xdr:pic>
      <xdr:nvPicPr>
        <xdr:cNvPr id="3" name="Picture 2">
          <a:extLst>
            <a:ext uri="{FF2B5EF4-FFF2-40B4-BE49-F238E27FC236}">
              <a16:creationId xmlns:a16="http://schemas.microsoft.com/office/drawing/2014/main" id="{2504BECA-8128-45D6-A57B-00F4CF85CF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912813" cy="91230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1111250</xdr:colOff>
      <xdr:row>1</xdr:row>
      <xdr:rowOff>100983</xdr:rowOff>
    </xdr:to>
    <xdr:pic>
      <xdr:nvPicPr>
        <xdr:cNvPr id="3" name="Picture 2">
          <a:extLst>
            <a:ext uri="{FF2B5EF4-FFF2-40B4-BE49-F238E27FC236}">
              <a16:creationId xmlns:a16="http://schemas.microsoft.com/office/drawing/2014/main" id="{9F6AD53C-A804-4062-9DBF-D31FC4D86F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11250" cy="111063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501650</xdr:colOff>
      <xdr:row>2</xdr:row>
      <xdr:rowOff>24783</xdr:rowOff>
    </xdr:to>
    <xdr:pic>
      <xdr:nvPicPr>
        <xdr:cNvPr id="7" name="Picture 6">
          <a:extLst>
            <a:ext uri="{FF2B5EF4-FFF2-40B4-BE49-F238E27FC236}">
              <a16:creationId xmlns:a16="http://schemas.microsoft.com/office/drawing/2014/main" id="{8D32C58C-F5FC-4A22-A90C-B67B143A82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11250" cy="1110633"/>
        </a:xfrm>
        <a:prstGeom prst="rect">
          <a:avLst/>
        </a:prstGeom>
      </xdr:spPr>
    </xdr:pic>
    <xdr:clientData/>
  </xdr:twoCellAnchor>
  <xdr:twoCellAnchor editAs="oneCell">
    <xdr:from>
      <xdr:col>0</xdr:col>
      <xdr:colOff>1</xdr:colOff>
      <xdr:row>0</xdr:row>
      <xdr:rowOff>0</xdr:rowOff>
    </xdr:from>
    <xdr:to>
      <xdr:col>1</xdr:col>
      <xdr:colOff>500063</xdr:colOff>
      <xdr:row>2</xdr:row>
      <xdr:rowOff>31133</xdr:rowOff>
    </xdr:to>
    <xdr:pic>
      <xdr:nvPicPr>
        <xdr:cNvPr id="4" name="Picture 3">
          <a:extLst>
            <a:ext uri="{FF2B5EF4-FFF2-40B4-BE49-F238E27FC236}">
              <a16:creationId xmlns:a16="http://schemas.microsoft.com/office/drawing/2014/main" id="{D1DCF62D-2241-4311-8483-50927307B2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109662" cy="1116983"/>
        </a:xfrm>
        <a:prstGeom prst="rect">
          <a:avLst/>
        </a:prstGeom>
      </xdr:spPr>
    </xdr:pic>
    <xdr:clientData/>
  </xdr:twoCellAnchor>
  <xdr:twoCellAnchor editAs="oneCell">
    <xdr:from>
      <xdr:col>0</xdr:col>
      <xdr:colOff>1</xdr:colOff>
      <xdr:row>0</xdr:row>
      <xdr:rowOff>0</xdr:rowOff>
    </xdr:from>
    <xdr:to>
      <xdr:col>1</xdr:col>
      <xdr:colOff>500063</xdr:colOff>
      <xdr:row>2</xdr:row>
      <xdr:rowOff>31133</xdr:rowOff>
    </xdr:to>
    <xdr:pic>
      <xdr:nvPicPr>
        <xdr:cNvPr id="2" name="Picture 1">
          <a:extLst>
            <a:ext uri="{FF2B5EF4-FFF2-40B4-BE49-F238E27FC236}">
              <a16:creationId xmlns:a16="http://schemas.microsoft.com/office/drawing/2014/main" id="{F0C3639B-2903-4F49-A31D-9D729EB7D5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109662" cy="111698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xdr:row>
      <xdr:rowOff>104775</xdr:rowOff>
    </xdr:from>
    <xdr:to>
      <xdr:col>7</xdr:col>
      <xdr:colOff>304800</xdr:colOff>
      <xdr:row>18</xdr:row>
      <xdr:rowOff>95250</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142875</xdr:rowOff>
    </xdr:from>
    <xdr:to>
      <xdr:col>7</xdr:col>
      <xdr:colOff>304800</xdr:colOff>
      <xdr:row>35</xdr:row>
      <xdr:rowOff>133350</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304800</xdr:colOff>
      <xdr:row>1</xdr:row>
      <xdr:rowOff>104775</xdr:rowOff>
    </xdr:from>
    <xdr:to>
      <xdr:col>14</xdr:col>
      <xdr:colOff>590550</xdr:colOff>
      <xdr:row>18</xdr:row>
      <xdr:rowOff>95250</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304800</xdr:colOff>
      <xdr:row>18</xdr:row>
      <xdr:rowOff>142875</xdr:rowOff>
    </xdr:from>
    <xdr:to>
      <xdr:col>14</xdr:col>
      <xdr:colOff>590550</xdr:colOff>
      <xdr:row>35</xdr:row>
      <xdr:rowOff>133350</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304800</xdr:colOff>
      <xdr:row>38</xdr:row>
      <xdr:rowOff>142875</xdr:rowOff>
    </xdr:from>
    <xdr:to>
      <xdr:col>15</xdr:col>
      <xdr:colOff>0</xdr:colOff>
      <xdr:row>55</xdr:row>
      <xdr:rowOff>133350</xdr:rowOff>
    </xdr:to>
    <xdr:graphicFrame macro="">
      <xdr:nvGraphicFramePr>
        <xdr:cNvPr id="6" name="Chart 5">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55</xdr:row>
      <xdr:rowOff>152400</xdr:rowOff>
    </xdr:from>
    <xdr:to>
      <xdr:col>7</xdr:col>
      <xdr:colOff>304800</xdr:colOff>
      <xdr:row>72</xdr:row>
      <xdr:rowOff>142875</xdr:rowOff>
    </xdr:to>
    <xdr:graphicFrame macro="">
      <xdr:nvGraphicFramePr>
        <xdr:cNvPr id="7" name="Chart 6">
          <a:extLst>
            <a:ext uri="{FF2B5EF4-FFF2-40B4-BE49-F238E27FC236}">
              <a16:creationId xmlns:a16="http://schemas.microsoft.com/office/drawing/2014/main" id="{00000000-0008-0000-09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304800</xdr:colOff>
      <xdr:row>55</xdr:row>
      <xdr:rowOff>152400</xdr:rowOff>
    </xdr:from>
    <xdr:to>
      <xdr:col>14</xdr:col>
      <xdr:colOff>581025</xdr:colOff>
      <xdr:row>72</xdr:row>
      <xdr:rowOff>142875</xdr:rowOff>
    </xdr:to>
    <xdr:graphicFrame macro="">
      <xdr:nvGraphicFramePr>
        <xdr:cNvPr id="8" name="Chart 7">
          <a:extLst>
            <a:ext uri="{FF2B5EF4-FFF2-40B4-BE49-F238E27FC236}">
              <a16:creationId xmlns:a16="http://schemas.microsoft.com/office/drawing/2014/main" id="{00000000-0008-0000-09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38</xdr:row>
      <xdr:rowOff>133350</xdr:rowOff>
    </xdr:from>
    <xdr:to>
      <xdr:col>7</xdr:col>
      <xdr:colOff>276225</xdr:colOff>
      <xdr:row>55</xdr:row>
      <xdr:rowOff>123825</xdr:rowOff>
    </xdr:to>
    <xdr:graphicFrame macro="">
      <xdr:nvGraphicFramePr>
        <xdr:cNvPr id="9" name="Chart 8">
          <a:extLst>
            <a:ext uri="{FF2B5EF4-FFF2-40B4-BE49-F238E27FC236}">
              <a16:creationId xmlns:a16="http://schemas.microsoft.com/office/drawing/2014/main" id="{00000000-0008-0000-0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75</xdr:row>
      <xdr:rowOff>114300</xdr:rowOff>
    </xdr:from>
    <xdr:to>
      <xdr:col>7</xdr:col>
      <xdr:colOff>304800</xdr:colOff>
      <xdr:row>92</xdr:row>
      <xdr:rowOff>104775</xdr:rowOff>
    </xdr:to>
    <xdr:graphicFrame macro="">
      <xdr:nvGraphicFramePr>
        <xdr:cNvPr id="10" name="Chart 9">
          <a:extLst>
            <a:ext uri="{FF2B5EF4-FFF2-40B4-BE49-F238E27FC236}">
              <a16:creationId xmlns:a16="http://schemas.microsoft.com/office/drawing/2014/main" id="{00000000-0008-0000-09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304800</xdr:colOff>
      <xdr:row>75</xdr:row>
      <xdr:rowOff>114300</xdr:rowOff>
    </xdr:from>
    <xdr:to>
      <xdr:col>14</xdr:col>
      <xdr:colOff>581025</xdr:colOff>
      <xdr:row>92</xdr:row>
      <xdr:rowOff>104775</xdr:rowOff>
    </xdr:to>
    <xdr:graphicFrame macro="">
      <xdr:nvGraphicFramePr>
        <xdr:cNvPr id="11" name="Chart 10">
          <a:extLst>
            <a:ext uri="{FF2B5EF4-FFF2-40B4-BE49-F238E27FC236}">
              <a16:creationId xmlns:a16="http://schemas.microsoft.com/office/drawing/2014/main" id="{00000000-0008-0000-09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112</xdr:row>
      <xdr:rowOff>95250</xdr:rowOff>
    </xdr:from>
    <xdr:to>
      <xdr:col>7</xdr:col>
      <xdr:colOff>304800</xdr:colOff>
      <xdr:row>129</xdr:row>
      <xdr:rowOff>85725</xdr:rowOff>
    </xdr:to>
    <xdr:graphicFrame macro="">
      <xdr:nvGraphicFramePr>
        <xdr:cNvPr id="13" name="Chart 12">
          <a:extLst>
            <a:ext uri="{FF2B5EF4-FFF2-40B4-BE49-F238E27FC236}">
              <a16:creationId xmlns:a16="http://schemas.microsoft.com/office/drawing/2014/main" id="{00000000-0008-0000-09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304800</xdr:colOff>
      <xdr:row>112</xdr:row>
      <xdr:rowOff>95250</xdr:rowOff>
    </xdr:from>
    <xdr:to>
      <xdr:col>14</xdr:col>
      <xdr:colOff>590550</xdr:colOff>
      <xdr:row>129</xdr:row>
      <xdr:rowOff>85725</xdr:rowOff>
    </xdr:to>
    <xdr:graphicFrame macro="">
      <xdr:nvGraphicFramePr>
        <xdr:cNvPr id="14" name="Chart 13">
          <a:extLst>
            <a:ext uri="{FF2B5EF4-FFF2-40B4-BE49-F238E27FC236}">
              <a16:creationId xmlns:a16="http://schemas.microsoft.com/office/drawing/2014/main" id="{00000000-0008-0000-09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314325</xdr:colOff>
      <xdr:row>129</xdr:row>
      <xdr:rowOff>104775</xdr:rowOff>
    </xdr:from>
    <xdr:to>
      <xdr:col>15</xdr:col>
      <xdr:colOff>9525</xdr:colOff>
      <xdr:row>146</xdr:row>
      <xdr:rowOff>95250</xdr:rowOff>
    </xdr:to>
    <xdr:graphicFrame macro="">
      <xdr:nvGraphicFramePr>
        <xdr:cNvPr id="15" name="Chart 14">
          <a:extLst>
            <a:ext uri="{FF2B5EF4-FFF2-40B4-BE49-F238E27FC236}">
              <a16:creationId xmlns:a16="http://schemas.microsoft.com/office/drawing/2014/main" id="{00000000-0008-0000-09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93</xdr:row>
      <xdr:rowOff>0</xdr:rowOff>
    </xdr:from>
    <xdr:to>
      <xdr:col>7</xdr:col>
      <xdr:colOff>304800</xdr:colOff>
      <xdr:row>109</xdr:row>
      <xdr:rowOff>152400</xdr:rowOff>
    </xdr:to>
    <xdr:graphicFrame macro="">
      <xdr:nvGraphicFramePr>
        <xdr:cNvPr id="18" name="Chart 17">
          <a:extLst>
            <a:ext uri="{FF2B5EF4-FFF2-40B4-BE49-F238E27FC236}">
              <a16:creationId xmlns:a16="http://schemas.microsoft.com/office/drawing/2014/main" id="{00000000-0008-0000-09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323850</xdr:colOff>
      <xdr:row>93</xdr:row>
      <xdr:rowOff>19050</xdr:rowOff>
    </xdr:from>
    <xdr:to>
      <xdr:col>15</xdr:col>
      <xdr:colOff>19050</xdr:colOff>
      <xdr:row>110</xdr:row>
      <xdr:rowOff>9525</xdr:rowOff>
    </xdr:to>
    <xdr:graphicFrame macro="">
      <xdr:nvGraphicFramePr>
        <xdr:cNvPr id="19" name="Chart 18">
          <a:extLst>
            <a:ext uri="{FF2B5EF4-FFF2-40B4-BE49-F238E27FC236}">
              <a16:creationId xmlns:a16="http://schemas.microsoft.com/office/drawing/2014/main" id="{00000000-0008-0000-09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129</xdr:row>
      <xdr:rowOff>114300</xdr:rowOff>
    </xdr:from>
    <xdr:to>
      <xdr:col>7</xdr:col>
      <xdr:colOff>304800</xdr:colOff>
      <xdr:row>146</xdr:row>
      <xdr:rowOff>104775</xdr:rowOff>
    </xdr:to>
    <xdr:graphicFrame macro="">
      <xdr:nvGraphicFramePr>
        <xdr:cNvPr id="20" name="Chart 19">
          <a:extLst>
            <a:ext uri="{FF2B5EF4-FFF2-40B4-BE49-F238E27FC236}">
              <a16:creationId xmlns:a16="http://schemas.microsoft.com/office/drawing/2014/main" id="{00000000-0008-0000-09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0</xdr:colOff>
      <xdr:row>0</xdr:row>
      <xdr:rowOff>2</xdr:rowOff>
    </xdr:from>
    <xdr:to>
      <xdr:col>0</xdr:col>
      <xdr:colOff>314325</xdr:colOff>
      <xdr:row>1</xdr:row>
      <xdr:rowOff>152227</xdr:rowOff>
    </xdr:to>
    <xdr:pic>
      <xdr:nvPicPr>
        <xdr:cNvPr id="25" name="Picture 24">
          <a:extLst>
            <a:ext uri="{FF2B5EF4-FFF2-40B4-BE49-F238E27FC236}">
              <a16:creationId xmlns:a16="http://schemas.microsoft.com/office/drawing/2014/main" id="{F08CF43D-686C-436D-A93E-FBD4DA00EA9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2"/>
          <a:ext cx="314325" cy="314150"/>
        </a:xfrm>
        <a:prstGeom prst="rect">
          <a:avLst/>
        </a:prstGeom>
      </xdr:spPr>
    </xdr:pic>
    <xdr:clientData/>
  </xdr:twoCellAnchor>
  <xdr:twoCellAnchor editAs="oneCell">
    <xdr:from>
      <xdr:col>0</xdr:col>
      <xdr:colOff>0</xdr:colOff>
      <xdr:row>37</xdr:row>
      <xdr:rowOff>0</xdr:rowOff>
    </xdr:from>
    <xdr:to>
      <xdr:col>0</xdr:col>
      <xdr:colOff>314325</xdr:colOff>
      <xdr:row>38</xdr:row>
      <xdr:rowOff>152225</xdr:rowOff>
    </xdr:to>
    <xdr:pic>
      <xdr:nvPicPr>
        <xdr:cNvPr id="26" name="Picture 25">
          <a:extLst>
            <a:ext uri="{FF2B5EF4-FFF2-40B4-BE49-F238E27FC236}">
              <a16:creationId xmlns:a16="http://schemas.microsoft.com/office/drawing/2014/main" id="{6D277C67-2F8B-439C-BAE6-FB85920D2F9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5991225"/>
          <a:ext cx="314325" cy="314150"/>
        </a:xfrm>
        <a:prstGeom prst="rect">
          <a:avLst/>
        </a:prstGeom>
      </xdr:spPr>
    </xdr:pic>
    <xdr:clientData/>
  </xdr:twoCellAnchor>
  <xdr:twoCellAnchor editAs="oneCell">
    <xdr:from>
      <xdr:col>0</xdr:col>
      <xdr:colOff>0</xdr:colOff>
      <xdr:row>74</xdr:row>
      <xdr:rowOff>0</xdr:rowOff>
    </xdr:from>
    <xdr:to>
      <xdr:col>0</xdr:col>
      <xdr:colOff>314325</xdr:colOff>
      <xdr:row>75</xdr:row>
      <xdr:rowOff>152225</xdr:rowOff>
    </xdr:to>
    <xdr:pic>
      <xdr:nvPicPr>
        <xdr:cNvPr id="27" name="Picture 26">
          <a:extLst>
            <a:ext uri="{FF2B5EF4-FFF2-40B4-BE49-F238E27FC236}">
              <a16:creationId xmlns:a16="http://schemas.microsoft.com/office/drawing/2014/main" id="{0FAB0FCE-8827-4AA3-87BD-EB9A1A3A5FC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11982450"/>
          <a:ext cx="314325" cy="314150"/>
        </a:xfrm>
        <a:prstGeom prst="rect">
          <a:avLst/>
        </a:prstGeom>
      </xdr:spPr>
    </xdr:pic>
    <xdr:clientData/>
  </xdr:twoCellAnchor>
  <xdr:twoCellAnchor editAs="oneCell">
    <xdr:from>
      <xdr:col>0</xdr:col>
      <xdr:colOff>0</xdr:colOff>
      <xdr:row>111</xdr:row>
      <xdr:rowOff>0</xdr:rowOff>
    </xdr:from>
    <xdr:to>
      <xdr:col>0</xdr:col>
      <xdr:colOff>314325</xdr:colOff>
      <xdr:row>112</xdr:row>
      <xdr:rowOff>152225</xdr:rowOff>
    </xdr:to>
    <xdr:pic>
      <xdr:nvPicPr>
        <xdr:cNvPr id="28" name="Picture 27">
          <a:extLst>
            <a:ext uri="{FF2B5EF4-FFF2-40B4-BE49-F238E27FC236}">
              <a16:creationId xmlns:a16="http://schemas.microsoft.com/office/drawing/2014/main" id="{453D34B5-FA52-430C-816F-D75A2B4331C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17973675"/>
          <a:ext cx="314325" cy="3141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xdr:row>
      <xdr:rowOff>104775</xdr:rowOff>
    </xdr:from>
    <xdr:to>
      <xdr:col>7</xdr:col>
      <xdr:colOff>304800</xdr:colOff>
      <xdr:row>18</xdr:row>
      <xdr:rowOff>95250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142875</xdr:rowOff>
    </xdr:from>
    <xdr:to>
      <xdr:col>7</xdr:col>
      <xdr:colOff>304800</xdr:colOff>
      <xdr:row>35</xdr:row>
      <xdr:rowOff>133350</xdr:rowOff>
    </xdr:to>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304800</xdr:colOff>
      <xdr:row>1</xdr:row>
      <xdr:rowOff>104775</xdr:rowOff>
    </xdr:from>
    <xdr:to>
      <xdr:col>14</xdr:col>
      <xdr:colOff>590550</xdr:colOff>
      <xdr:row>18</xdr:row>
      <xdr:rowOff>95250</xdr:rowOff>
    </xdr:to>
    <xdr:graphicFrame macro="">
      <xdr:nvGraphicFramePr>
        <xdr:cNvPr id="5" name="Chart 4">
          <a:extLst>
            <a:ext uri="{FF2B5EF4-FFF2-40B4-BE49-F238E27FC236}">
              <a16:creationId xmlns:a16="http://schemas.microsoft.com/office/drawing/2014/main" id="{00000000-0008-0000-0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304800</xdr:colOff>
      <xdr:row>18</xdr:row>
      <xdr:rowOff>142875</xdr:rowOff>
    </xdr:from>
    <xdr:to>
      <xdr:col>14</xdr:col>
      <xdr:colOff>590550</xdr:colOff>
      <xdr:row>35</xdr:row>
      <xdr:rowOff>133350</xdr:rowOff>
    </xdr:to>
    <xdr:graphicFrame macro="">
      <xdr:nvGraphicFramePr>
        <xdr:cNvPr id="7" name="Chart 6">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285750</xdr:colOff>
      <xdr:row>38</xdr:row>
      <xdr:rowOff>152400</xdr:rowOff>
    </xdr:from>
    <xdr:to>
      <xdr:col>14</xdr:col>
      <xdr:colOff>590550</xdr:colOff>
      <xdr:row>55</xdr:row>
      <xdr:rowOff>142875</xdr:rowOff>
    </xdr:to>
    <xdr:graphicFrame macro="">
      <xdr:nvGraphicFramePr>
        <xdr:cNvPr id="8" name="Chart 7">
          <a:extLst>
            <a:ext uri="{FF2B5EF4-FFF2-40B4-BE49-F238E27FC236}">
              <a16:creationId xmlns:a16="http://schemas.microsoft.com/office/drawing/2014/main" id="{00000000-0008-0000-0A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55</xdr:row>
      <xdr:rowOff>152400</xdr:rowOff>
    </xdr:from>
    <xdr:to>
      <xdr:col>7</xdr:col>
      <xdr:colOff>304800</xdr:colOff>
      <xdr:row>72</xdr:row>
      <xdr:rowOff>142875</xdr:rowOff>
    </xdr:to>
    <xdr:graphicFrame macro="">
      <xdr:nvGraphicFramePr>
        <xdr:cNvPr id="10" name="Chart 9">
          <a:extLst>
            <a:ext uri="{FF2B5EF4-FFF2-40B4-BE49-F238E27FC236}">
              <a16:creationId xmlns:a16="http://schemas.microsoft.com/office/drawing/2014/main" id="{00000000-0008-0000-0A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304800</xdr:colOff>
      <xdr:row>55</xdr:row>
      <xdr:rowOff>152400</xdr:rowOff>
    </xdr:from>
    <xdr:to>
      <xdr:col>14</xdr:col>
      <xdr:colOff>581025</xdr:colOff>
      <xdr:row>72</xdr:row>
      <xdr:rowOff>142875</xdr:rowOff>
    </xdr:to>
    <xdr:graphicFrame macro="">
      <xdr:nvGraphicFramePr>
        <xdr:cNvPr id="11" name="Chart 10">
          <a:extLst>
            <a:ext uri="{FF2B5EF4-FFF2-40B4-BE49-F238E27FC236}">
              <a16:creationId xmlns:a16="http://schemas.microsoft.com/office/drawing/2014/main" id="{00000000-0008-0000-0A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38</xdr:row>
      <xdr:rowOff>152400</xdr:rowOff>
    </xdr:from>
    <xdr:to>
      <xdr:col>7</xdr:col>
      <xdr:colOff>276225</xdr:colOff>
      <xdr:row>55</xdr:row>
      <xdr:rowOff>142875</xdr:rowOff>
    </xdr:to>
    <xdr:graphicFrame macro="">
      <xdr:nvGraphicFramePr>
        <xdr:cNvPr id="14" name="Chart 13">
          <a:extLst>
            <a:ext uri="{FF2B5EF4-FFF2-40B4-BE49-F238E27FC236}">
              <a16:creationId xmlns:a16="http://schemas.microsoft.com/office/drawing/2014/main" id="{00000000-0008-0000-0A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75</xdr:row>
      <xdr:rowOff>114300</xdr:rowOff>
    </xdr:from>
    <xdr:to>
      <xdr:col>7</xdr:col>
      <xdr:colOff>304800</xdr:colOff>
      <xdr:row>92</xdr:row>
      <xdr:rowOff>104775</xdr:rowOff>
    </xdr:to>
    <xdr:graphicFrame macro="">
      <xdr:nvGraphicFramePr>
        <xdr:cNvPr id="15" name="Chart 14">
          <a:extLst>
            <a:ext uri="{FF2B5EF4-FFF2-40B4-BE49-F238E27FC236}">
              <a16:creationId xmlns:a16="http://schemas.microsoft.com/office/drawing/2014/main" id="{00000000-0008-0000-0A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304800</xdr:colOff>
      <xdr:row>75</xdr:row>
      <xdr:rowOff>114300</xdr:rowOff>
    </xdr:from>
    <xdr:to>
      <xdr:col>14</xdr:col>
      <xdr:colOff>581025</xdr:colOff>
      <xdr:row>92</xdr:row>
      <xdr:rowOff>104775</xdr:rowOff>
    </xdr:to>
    <xdr:graphicFrame macro="">
      <xdr:nvGraphicFramePr>
        <xdr:cNvPr id="16" name="Chart 15">
          <a:extLst>
            <a:ext uri="{FF2B5EF4-FFF2-40B4-BE49-F238E27FC236}">
              <a16:creationId xmlns:a16="http://schemas.microsoft.com/office/drawing/2014/main" id="{00000000-0008-0000-0A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112</xdr:row>
      <xdr:rowOff>95250</xdr:rowOff>
    </xdr:from>
    <xdr:to>
      <xdr:col>7</xdr:col>
      <xdr:colOff>304800</xdr:colOff>
      <xdr:row>129</xdr:row>
      <xdr:rowOff>85725</xdr:rowOff>
    </xdr:to>
    <xdr:graphicFrame macro="">
      <xdr:nvGraphicFramePr>
        <xdr:cNvPr id="20" name="Chart 19">
          <a:extLst>
            <a:ext uri="{FF2B5EF4-FFF2-40B4-BE49-F238E27FC236}">
              <a16:creationId xmlns:a16="http://schemas.microsoft.com/office/drawing/2014/main" id="{00000000-0008-0000-0A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304800</xdr:colOff>
      <xdr:row>112</xdr:row>
      <xdr:rowOff>95250</xdr:rowOff>
    </xdr:from>
    <xdr:to>
      <xdr:col>14</xdr:col>
      <xdr:colOff>590550</xdr:colOff>
      <xdr:row>129</xdr:row>
      <xdr:rowOff>85725</xdr:rowOff>
    </xdr:to>
    <xdr:graphicFrame macro="">
      <xdr:nvGraphicFramePr>
        <xdr:cNvPr id="21" name="Chart 20">
          <a:extLst>
            <a:ext uri="{FF2B5EF4-FFF2-40B4-BE49-F238E27FC236}">
              <a16:creationId xmlns:a16="http://schemas.microsoft.com/office/drawing/2014/main" id="{00000000-0008-0000-0A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285750</xdr:colOff>
      <xdr:row>129</xdr:row>
      <xdr:rowOff>104775</xdr:rowOff>
    </xdr:from>
    <xdr:to>
      <xdr:col>14</xdr:col>
      <xdr:colOff>590550</xdr:colOff>
      <xdr:row>146</xdr:row>
      <xdr:rowOff>95250</xdr:rowOff>
    </xdr:to>
    <xdr:graphicFrame macro="">
      <xdr:nvGraphicFramePr>
        <xdr:cNvPr id="22" name="Chart 21">
          <a:extLst>
            <a:ext uri="{FF2B5EF4-FFF2-40B4-BE49-F238E27FC236}">
              <a16:creationId xmlns:a16="http://schemas.microsoft.com/office/drawing/2014/main" id="{00000000-0008-0000-0A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28575</xdr:colOff>
      <xdr:row>92</xdr:row>
      <xdr:rowOff>104775</xdr:rowOff>
    </xdr:from>
    <xdr:to>
      <xdr:col>7</xdr:col>
      <xdr:colOff>333375</xdr:colOff>
      <xdr:row>109</xdr:row>
      <xdr:rowOff>95250</xdr:rowOff>
    </xdr:to>
    <xdr:graphicFrame macro="">
      <xdr:nvGraphicFramePr>
        <xdr:cNvPr id="23" name="Chart 22">
          <a:extLst>
            <a:ext uri="{FF2B5EF4-FFF2-40B4-BE49-F238E27FC236}">
              <a16:creationId xmlns:a16="http://schemas.microsoft.com/office/drawing/2014/main" id="{00000000-0008-0000-0A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314325</xdr:colOff>
      <xdr:row>92</xdr:row>
      <xdr:rowOff>114300</xdr:rowOff>
    </xdr:from>
    <xdr:to>
      <xdr:col>15</xdr:col>
      <xdr:colOff>9525</xdr:colOff>
      <xdr:row>109</xdr:row>
      <xdr:rowOff>104775</xdr:rowOff>
    </xdr:to>
    <xdr:graphicFrame macro="">
      <xdr:nvGraphicFramePr>
        <xdr:cNvPr id="24" name="Chart 23">
          <a:extLst>
            <a:ext uri="{FF2B5EF4-FFF2-40B4-BE49-F238E27FC236}">
              <a16:creationId xmlns:a16="http://schemas.microsoft.com/office/drawing/2014/main" id="{00000000-0008-0000-0A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129</xdr:row>
      <xdr:rowOff>95250</xdr:rowOff>
    </xdr:from>
    <xdr:to>
      <xdr:col>7</xdr:col>
      <xdr:colOff>304800</xdr:colOff>
      <xdr:row>146</xdr:row>
      <xdr:rowOff>85725</xdr:rowOff>
    </xdr:to>
    <xdr:graphicFrame macro="">
      <xdr:nvGraphicFramePr>
        <xdr:cNvPr id="25" name="Chart 24">
          <a:extLst>
            <a:ext uri="{FF2B5EF4-FFF2-40B4-BE49-F238E27FC236}">
              <a16:creationId xmlns:a16="http://schemas.microsoft.com/office/drawing/2014/main" id="{00000000-0008-0000-0A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0</xdr:colOff>
      <xdr:row>0</xdr:row>
      <xdr:rowOff>0</xdr:rowOff>
    </xdr:from>
    <xdr:to>
      <xdr:col>0</xdr:col>
      <xdr:colOff>314325</xdr:colOff>
      <xdr:row>1</xdr:row>
      <xdr:rowOff>152225</xdr:rowOff>
    </xdr:to>
    <xdr:pic>
      <xdr:nvPicPr>
        <xdr:cNvPr id="28" name="Picture 27">
          <a:extLst>
            <a:ext uri="{FF2B5EF4-FFF2-40B4-BE49-F238E27FC236}">
              <a16:creationId xmlns:a16="http://schemas.microsoft.com/office/drawing/2014/main" id="{1B607F29-089E-44EB-949A-A069A811C71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0"/>
          <a:ext cx="314325" cy="314150"/>
        </a:xfrm>
        <a:prstGeom prst="rect">
          <a:avLst/>
        </a:prstGeom>
      </xdr:spPr>
    </xdr:pic>
    <xdr:clientData/>
  </xdr:twoCellAnchor>
  <xdr:twoCellAnchor editAs="oneCell">
    <xdr:from>
      <xdr:col>0</xdr:col>
      <xdr:colOff>0</xdr:colOff>
      <xdr:row>37</xdr:row>
      <xdr:rowOff>0</xdr:rowOff>
    </xdr:from>
    <xdr:to>
      <xdr:col>0</xdr:col>
      <xdr:colOff>314325</xdr:colOff>
      <xdr:row>38</xdr:row>
      <xdr:rowOff>152225</xdr:rowOff>
    </xdr:to>
    <xdr:pic>
      <xdr:nvPicPr>
        <xdr:cNvPr id="29" name="Picture 28">
          <a:extLst>
            <a:ext uri="{FF2B5EF4-FFF2-40B4-BE49-F238E27FC236}">
              <a16:creationId xmlns:a16="http://schemas.microsoft.com/office/drawing/2014/main" id="{6DAD2861-6A5E-4909-BA34-E7DECDB53A2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5991225"/>
          <a:ext cx="314325" cy="314150"/>
        </a:xfrm>
        <a:prstGeom prst="rect">
          <a:avLst/>
        </a:prstGeom>
      </xdr:spPr>
    </xdr:pic>
    <xdr:clientData/>
  </xdr:twoCellAnchor>
  <xdr:twoCellAnchor editAs="oneCell">
    <xdr:from>
      <xdr:col>0</xdr:col>
      <xdr:colOff>0</xdr:colOff>
      <xdr:row>74</xdr:row>
      <xdr:rowOff>0</xdr:rowOff>
    </xdr:from>
    <xdr:to>
      <xdr:col>0</xdr:col>
      <xdr:colOff>314325</xdr:colOff>
      <xdr:row>75</xdr:row>
      <xdr:rowOff>152225</xdr:rowOff>
    </xdr:to>
    <xdr:pic>
      <xdr:nvPicPr>
        <xdr:cNvPr id="30" name="Picture 29">
          <a:extLst>
            <a:ext uri="{FF2B5EF4-FFF2-40B4-BE49-F238E27FC236}">
              <a16:creationId xmlns:a16="http://schemas.microsoft.com/office/drawing/2014/main" id="{CF99E35C-E11E-416E-8B93-C0A0BF60EBD7}"/>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11982450"/>
          <a:ext cx="314325" cy="314150"/>
        </a:xfrm>
        <a:prstGeom prst="rect">
          <a:avLst/>
        </a:prstGeom>
      </xdr:spPr>
    </xdr:pic>
    <xdr:clientData/>
  </xdr:twoCellAnchor>
  <xdr:twoCellAnchor editAs="oneCell">
    <xdr:from>
      <xdr:col>0</xdr:col>
      <xdr:colOff>0</xdr:colOff>
      <xdr:row>111</xdr:row>
      <xdr:rowOff>0</xdr:rowOff>
    </xdr:from>
    <xdr:to>
      <xdr:col>0</xdr:col>
      <xdr:colOff>314325</xdr:colOff>
      <xdr:row>112</xdr:row>
      <xdr:rowOff>152225</xdr:rowOff>
    </xdr:to>
    <xdr:pic>
      <xdr:nvPicPr>
        <xdr:cNvPr id="31" name="Picture 30">
          <a:extLst>
            <a:ext uri="{FF2B5EF4-FFF2-40B4-BE49-F238E27FC236}">
              <a16:creationId xmlns:a16="http://schemas.microsoft.com/office/drawing/2014/main" id="{7D21C57B-917B-44BB-A9EE-9968895240E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17973675"/>
          <a:ext cx="314325" cy="3141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xdr:row>
      <xdr:rowOff>104775</xdr:rowOff>
    </xdr:from>
    <xdr:to>
      <xdr:col>7</xdr:col>
      <xdr:colOff>304800</xdr:colOff>
      <xdr:row>18</xdr:row>
      <xdr:rowOff>95250</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142875</xdr:rowOff>
    </xdr:from>
    <xdr:to>
      <xdr:col>7</xdr:col>
      <xdr:colOff>304800</xdr:colOff>
      <xdr:row>35</xdr:row>
      <xdr:rowOff>133350</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304800</xdr:colOff>
      <xdr:row>1</xdr:row>
      <xdr:rowOff>104775</xdr:rowOff>
    </xdr:from>
    <xdr:to>
      <xdr:col>14</xdr:col>
      <xdr:colOff>590550</xdr:colOff>
      <xdr:row>18</xdr:row>
      <xdr:rowOff>95250</xdr:rowOff>
    </xdr:to>
    <xdr:graphicFrame macro="">
      <xdr:nvGraphicFramePr>
        <xdr:cNvPr id="4" name="Chart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304800</xdr:colOff>
      <xdr:row>18</xdr:row>
      <xdr:rowOff>142875</xdr:rowOff>
    </xdr:from>
    <xdr:to>
      <xdr:col>14</xdr:col>
      <xdr:colOff>590550</xdr:colOff>
      <xdr:row>35</xdr:row>
      <xdr:rowOff>133350</xdr:rowOff>
    </xdr:to>
    <xdr:graphicFrame macro="">
      <xdr:nvGraphicFramePr>
        <xdr:cNvPr id="5" name="Chart 4">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285750</xdr:colOff>
      <xdr:row>38</xdr:row>
      <xdr:rowOff>152400</xdr:rowOff>
    </xdr:from>
    <xdr:to>
      <xdr:col>14</xdr:col>
      <xdr:colOff>590550</xdr:colOff>
      <xdr:row>55</xdr:row>
      <xdr:rowOff>142875</xdr:rowOff>
    </xdr:to>
    <xdr:graphicFrame macro="">
      <xdr:nvGraphicFramePr>
        <xdr:cNvPr id="6" name="Chart 5">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55</xdr:row>
      <xdr:rowOff>152400</xdr:rowOff>
    </xdr:from>
    <xdr:to>
      <xdr:col>7</xdr:col>
      <xdr:colOff>304800</xdr:colOff>
      <xdr:row>72</xdr:row>
      <xdr:rowOff>142875</xdr:rowOff>
    </xdr:to>
    <xdr:graphicFrame macro="">
      <xdr:nvGraphicFramePr>
        <xdr:cNvPr id="7" name="Chart 6">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304800</xdr:colOff>
      <xdr:row>55</xdr:row>
      <xdr:rowOff>152400</xdr:rowOff>
    </xdr:from>
    <xdr:to>
      <xdr:col>14</xdr:col>
      <xdr:colOff>581025</xdr:colOff>
      <xdr:row>72</xdr:row>
      <xdr:rowOff>142875</xdr:rowOff>
    </xdr:to>
    <xdr:graphicFrame macro="">
      <xdr:nvGraphicFramePr>
        <xdr:cNvPr id="8" name="Chart 7">
          <a:extLst>
            <a:ext uri="{FF2B5EF4-FFF2-40B4-BE49-F238E27FC236}">
              <a16:creationId xmlns:a16="http://schemas.microsoft.com/office/drawing/2014/main" id="{00000000-0008-0000-0B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38</xdr:row>
      <xdr:rowOff>152400</xdr:rowOff>
    </xdr:from>
    <xdr:to>
      <xdr:col>7</xdr:col>
      <xdr:colOff>276225</xdr:colOff>
      <xdr:row>55</xdr:row>
      <xdr:rowOff>142875</xdr:rowOff>
    </xdr:to>
    <xdr:graphicFrame macro="">
      <xdr:nvGraphicFramePr>
        <xdr:cNvPr id="9" name="Chart 8">
          <a:extLst>
            <a:ext uri="{FF2B5EF4-FFF2-40B4-BE49-F238E27FC236}">
              <a16:creationId xmlns:a16="http://schemas.microsoft.com/office/drawing/2014/main" id="{00000000-0008-0000-0B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75</xdr:row>
      <xdr:rowOff>114300</xdr:rowOff>
    </xdr:from>
    <xdr:to>
      <xdr:col>7</xdr:col>
      <xdr:colOff>304800</xdr:colOff>
      <xdr:row>92</xdr:row>
      <xdr:rowOff>104775</xdr:rowOff>
    </xdr:to>
    <xdr:graphicFrame macro="">
      <xdr:nvGraphicFramePr>
        <xdr:cNvPr id="10" name="Chart 9">
          <a:extLst>
            <a:ext uri="{FF2B5EF4-FFF2-40B4-BE49-F238E27FC236}">
              <a16:creationId xmlns:a16="http://schemas.microsoft.com/office/drawing/2014/main" id="{00000000-0008-0000-0B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304800</xdr:colOff>
      <xdr:row>75</xdr:row>
      <xdr:rowOff>114300</xdr:rowOff>
    </xdr:from>
    <xdr:to>
      <xdr:col>14</xdr:col>
      <xdr:colOff>581025</xdr:colOff>
      <xdr:row>92</xdr:row>
      <xdr:rowOff>104775</xdr:rowOff>
    </xdr:to>
    <xdr:graphicFrame macro="">
      <xdr:nvGraphicFramePr>
        <xdr:cNvPr id="11" name="Chart 10">
          <a:extLst>
            <a:ext uri="{FF2B5EF4-FFF2-40B4-BE49-F238E27FC236}">
              <a16:creationId xmlns:a16="http://schemas.microsoft.com/office/drawing/2014/main" id="{00000000-0008-0000-0B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112</xdr:row>
      <xdr:rowOff>95250</xdr:rowOff>
    </xdr:from>
    <xdr:to>
      <xdr:col>7</xdr:col>
      <xdr:colOff>304800</xdr:colOff>
      <xdr:row>129</xdr:row>
      <xdr:rowOff>85725</xdr:rowOff>
    </xdr:to>
    <xdr:graphicFrame macro="">
      <xdr:nvGraphicFramePr>
        <xdr:cNvPr id="12" name="Chart 11">
          <a:extLst>
            <a:ext uri="{FF2B5EF4-FFF2-40B4-BE49-F238E27FC236}">
              <a16:creationId xmlns:a16="http://schemas.microsoft.com/office/drawing/2014/main" id="{00000000-0008-0000-0B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304800</xdr:colOff>
      <xdr:row>112</xdr:row>
      <xdr:rowOff>95250</xdr:rowOff>
    </xdr:from>
    <xdr:to>
      <xdr:col>14</xdr:col>
      <xdr:colOff>590550</xdr:colOff>
      <xdr:row>129</xdr:row>
      <xdr:rowOff>85725</xdr:rowOff>
    </xdr:to>
    <xdr:graphicFrame macro="">
      <xdr:nvGraphicFramePr>
        <xdr:cNvPr id="13" name="Chart 12">
          <a:extLst>
            <a:ext uri="{FF2B5EF4-FFF2-40B4-BE49-F238E27FC236}">
              <a16:creationId xmlns:a16="http://schemas.microsoft.com/office/drawing/2014/main" id="{00000000-0008-0000-0B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285750</xdr:colOff>
      <xdr:row>129</xdr:row>
      <xdr:rowOff>104775</xdr:rowOff>
    </xdr:from>
    <xdr:to>
      <xdr:col>14</xdr:col>
      <xdr:colOff>590550</xdr:colOff>
      <xdr:row>146</xdr:row>
      <xdr:rowOff>95250</xdr:rowOff>
    </xdr:to>
    <xdr:graphicFrame macro="">
      <xdr:nvGraphicFramePr>
        <xdr:cNvPr id="14" name="Chart 13">
          <a:extLst>
            <a:ext uri="{FF2B5EF4-FFF2-40B4-BE49-F238E27FC236}">
              <a16:creationId xmlns:a16="http://schemas.microsoft.com/office/drawing/2014/main" id="{00000000-0008-0000-0B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28575</xdr:colOff>
      <xdr:row>92</xdr:row>
      <xdr:rowOff>104775</xdr:rowOff>
    </xdr:from>
    <xdr:to>
      <xdr:col>7</xdr:col>
      <xdr:colOff>333375</xdr:colOff>
      <xdr:row>109</xdr:row>
      <xdr:rowOff>95250</xdr:rowOff>
    </xdr:to>
    <xdr:graphicFrame macro="">
      <xdr:nvGraphicFramePr>
        <xdr:cNvPr id="15" name="Chart 14">
          <a:extLst>
            <a:ext uri="{FF2B5EF4-FFF2-40B4-BE49-F238E27FC236}">
              <a16:creationId xmlns:a16="http://schemas.microsoft.com/office/drawing/2014/main" id="{00000000-0008-0000-0B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314325</xdr:colOff>
      <xdr:row>92</xdr:row>
      <xdr:rowOff>114300</xdr:rowOff>
    </xdr:from>
    <xdr:to>
      <xdr:col>15</xdr:col>
      <xdr:colOff>9525</xdr:colOff>
      <xdr:row>109</xdr:row>
      <xdr:rowOff>104775</xdr:rowOff>
    </xdr:to>
    <xdr:graphicFrame macro="">
      <xdr:nvGraphicFramePr>
        <xdr:cNvPr id="16" name="Chart 15">
          <a:extLst>
            <a:ext uri="{FF2B5EF4-FFF2-40B4-BE49-F238E27FC236}">
              <a16:creationId xmlns:a16="http://schemas.microsoft.com/office/drawing/2014/main" id="{00000000-0008-0000-0B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129</xdr:row>
      <xdr:rowOff>95250</xdr:rowOff>
    </xdr:from>
    <xdr:to>
      <xdr:col>7</xdr:col>
      <xdr:colOff>304800</xdr:colOff>
      <xdr:row>146</xdr:row>
      <xdr:rowOff>85725</xdr:rowOff>
    </xdr:to>
    <xdr:graphicFrame macro="">
      <xdr:nvGraphicFramePr>
        <xdr:cNvPr id="17" name="Chart 16">
          <a:extLst>
            <a:ext uri="{FF2B5EF4-FFF2-40B4-BE49-F238E27FC236}">
              <a16:creationId xmlns:a16="http://schemas.microsoft.com/office/drawing/2014/main"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0</xdr:colOff>
      <xdr:row>0</xdr:row>
      <xdr:rowOff>0</xdr:rowOff>
    </xdr:from>
    <xdr:to>
      <xdr:col>0</xdr:col>
      <xdr:colOff>314325</xdr:colOff>
      <xdr:row>1</xdr:row>
      <xdr:rowOff>152225</xdr:rowOff>
    </xdr:to>
    <xdr:pic>
      <xdr:nvPicPr>
        <xdr:cNvPr id="22" name="Picture 21">
          <a:extLst>
            <a:ext uri="{FF2B5EF4-FFF2-40B4-BE49-F238E27FC236}">
              <a16:creationId xmlns:a16="http://schemas.microsoft.com/office/drawing/2014/main" id="{2A282930-18F2-449F-A15E-EBB9339EAE7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0"/>
          <a:ext cx="314325" cy="314150"/>
        </a:xfrm>
        <a:prstGeom prst="rect">
          <a:avLst/>
        </a:prstGeom>
      </xdr:spPr>
    </xdr:pic>
    <xdr:clientData/>
  </xdr:twoCellAnchor>
  <xdr:twoCellAnchor editAs="oneCell">
    <xdr:from>
      <xdr:col>0</xdr:col>
      <xdr:colOff>0</xdr:colOff>
      <xdr:row>37</xdr:row>
      <xdr:rowOff>0</xdr:rowOff>
    </xdr:from>
    <xdr:to>
      <xdr:col>0</xdr:col>
      <xdr:colOff>314325</xdr:colOff>
      <xdr:row>38</xdr:row>
      <xdr:rowOff>152225</xdr:rowOff>
    </xdr:to>
    <xdr:pic>
      <xdr:nvPicPr>
        <xdr:cNvPr id="23" name="Picture 22">
          <a:extLst>
            <a:ext uri="{FF2B5EF4-FFF2-40B4-BE49-F238E27FC236}">
              <a16:creationId xmlns:a16="http://schemas.microsoft.com/office/drawing/2014/main" id="{EC860D7E-D1BB-4FAE-8A0E-47A5394B4AA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5991225"/>
          <a:ext cx="314325" cy="314150"/>
        </a:xfrm>
        <a:prstGeom prst="rect">
          <a:avLst/>
        </a:prstGeom>
      </xdr:spPr>
    </xdr:pic>
    <xdr:clientData/>
  </xdr:twoCellAnchor>
  <xdr:twoCellAnchor editAs="oneCell">
    <xdr:from>
      <xdr:col>0</xdr:col>
      <xdr:colOff>0</xdr:colOff>
      <xdr:row>74</xdr:row>
      <xdr:rowOff>0</xdr:rowOff>
    </xdr:from>
    <xdr:to>
      <xdr:col>0</xdr:col>
      <xdr:colOff>314325</xdr:colOff>
      <xdr:row>75</xdr:row>
      <xdr:rowOff>152225</xdr:rowOff>
    </xdr:to>
    <xdr:pic>
      <xdr:nvPicPr>
        <xdr:cNvPr id="24" name="Picture 23">
          <a:extLst>
            <a:ext uri="{FF2B5EF4-FFF2-40B4-BE49-F238E27FC236}">
              <a16:creationId xmlns:a16="http://schemas.microsoft.com/office/drawing/2014/main" id="{FDF6977E-1430-401D-A75E-E507AD09CB0A}"/>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11982450"/>
          <a:ext cx="314325" cy="314150"/>
        </a:xfrm>
        <a:prstGeom prst="rect">
          <a:avLst/>
        </a:prstGeom>
      </xdr:spPr>
    </xdr:pic>
    <xdr:clientData/>
  </xdr:twoCellAnchor>
  <xdr:twoCellAnchor editAs="oneCell">
    <xdr:from>
      <xdr:col>0</xdr:col>
      <xdr:colOff>13138</xdr:colOff>
      <xdr:row>110</xdr:row>
      <xdr:rowOff>145503</xdr:rowOff>
    </xdr:from>
    <xdr:to>
      <xdr:col>0</xdr:col>
      <xdr:colOff>327463</xdr:colOff>
      <xdr:row>112</xdr:row>
      <xdr:rowOff>133504</xdr:rowOff>
    </xdr:to>
    <xdr:pic>
      <xdr:nvPicPr>
        <xdr:cNvPr id="25" name="Picture 24">
          <a:extLst>
            <a:ext uri="{FF2B5EF4-FFF2-40B4-BE49-F238E27FC236}">
              <a16:creationId xmlns:a16="http://schemas.microsoft.com/office/drawing/2014/main" id="{DBF783A4-2726-4E26-8C9F-0113209C9D1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3138" y="18210158"/>
          <a:ext cx="314325" cy="31644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2:C134"/>
  <sheetViews>
    <sheetView workbookViewId="0">
      <selection activeCell="A21" sqref="A21"/>
    </sheetView>
  </sheetViews>
  <sheetFormatPr defaultRowHeight="12.75" x14ac:dyDescent="0.2"/>
  <cols>
    <col min="1" max="1" width="48.5703125" customWidth="1"/>
    <col min="2" max="2" width="91" customWidth="1"/>
    <col min="4" max="4" width="61.28515625" customWidth="1"/>
  </cols>
  <sheetData>
    <row r="2" spans="1:3" ht="20.25" x14ac:dyDescent="0.2">
      <c r="A2" s="237" t="s">
        <v>59</v>
      </c>
      <c r="B2" s="237"/>
    </row>
    <row r="3" spans="1:3" ht="35.1" customHeight="1" x14ac:dyDescent="0.2">
      <c r="A3" s="170" t="s">
        <v>60</v>
      </c>
      <c r="B3" s="171" t="s">
        <v>99</v>
      </c>
      <c r="C3" s="159"/>
    </row>
    <row r="4" spans="1:3" ht="35.1" customHeight="1" x14ac:dyDescent="0.2">
      <c r="A4" s="170" t="s">
        <v>101</v>
      </c>
      <c r="B4" s="171" t="s">
        <v>100</v>
      </c>
      <c r="C4" s="159"/>
    </row>
    <row r="5" spans="1:3" ht="35.1" customHeight="1" x14ac:dyDescent="0.2">
      <c r="A5" s="172" t="s">
        <v>102</v>
      </c>
      <c r="B5" s="173" t="s">
        <v>63</v>
      </c>
    </row>
    <row r="6" spans="1:3" ht="35.1" customHeight="1" x14ac:dyDescent="0.2">
      <c r="A6" s="172" t="s">
        <v>97</v>
      </c>
      <c r="B6" s="173" t="s">
        <v>103</v>
      </c>
    </row>
    <row r="7" spans="1:3" ht="35.1" customHeight="1" x14ac:dyDescent="0.2">
      <c r="A7" s="172" t="s">
        <v>61</v>
      </c>
      <c r="B7" s="173" t="s">
        <v>104</v>
      </c>
      <c r="C7" s="159"/>
    </row>
    <row r="8" spans="1:3" ht="35.1" customHeight="1" x14ac:dyDescent="0.2">
      <c r="A8" s="164" t="s">
        <v>105</v>
      </c>
      <c r="B8" s="165" t="s">
        <v>106</v>
      </c>
      <c r="C8" s="159"/>
    </row>
    <row r="9" spans="1:3" ht="35.1" customHeight="1" x14ac:dyDescent="0.2">
      <c r="A9" s="164" t="s">
        <v>107</v>
      </c>
      <c r="B9" s="165" t="s">
        <v>108</v>
      </c>
      <c r="C9" s="159"/>
    </row>
    <row r="10" spans="1:3" ht="35.1" customHeight="1" x14ac:dyDescent="0.25">
      <c r="A10" s="202" t="s">
        <v>109</v>
      </c>
      <c r="B10" s="203" t="s">
        <v>96</v>
      </c>
      <c r="C10" s="159"/>
    </row>
    <row r="11" spans="1:3" ht="35.1" customHeight="1" x14ac:dyDescent="0.2">
      <c r="A11" s="160" t="s">
        <v>110</v>
      </c>
      <c r="B11" s="161" t="s">
        <v>111</v>
      </c>
      <c r="C11" s="159"/>
    </row>
    <row r="12" spans="1:3" ht="35.1" customHeight="1" x14ac:dyDescent="0.2">
      <c r="A12" s="160" t="s">
        <v>112</v>
      </c>
      <c r="B12" s="161" t="s">
        <v>113</v>
      </c>
      <c r="C12" s="159"/>
    </row>
    <row r="13" spans="1:3" ht="35.1" customHeight="1" x14ac:dyDescent="0.25">
      <c r="A13" s="204" t="s">
        <v>114</v>
      </c>
      <c r="B13" s="205" t="s">
        <v>115</v>
      </c>
      <c r="C13" s="159"/>
    </row>
    <row r="14" spans="1:3" ht="21" customHeight="1" x14ac:dyDescent="0.2">
      <c r="A14" s="162" t="s">
        <v>62</v>
      </c>
      <c r="B14" s="163" t="s">
        <v>95</v>
      </c>
      <c r="C14" s="159"/>
    </row>
    <row r="15" spans="1:3" ht="14.25" x14ac:dyDescent="0.2">
      <c r="A15" s="159"/>
      <c r="B15" s="159"/>
      <c r="C15" s="159"/>
    </row>
    <row r="16" spans="1:3" ht="14.25" x14ac:dyDescent="0.2">
      <c r="A16" s="159"/>
      <c r="B16" s="159"/>
      <c r="C16" s="159"/>
    </row>
    <row r="17" spans="1:3" ht="14.25" x14ac:dyDescent="0.2">
      <c r="A17" s="159" t="s">
        <v>116</v>
      </c>
      <c r="B17" s="159" t="s">
        <v>117</v>
      </c>
      <c r="C17" s="159"/>
    </row>
    <row r="18" spans="1:3" ht="15" x14ac:dyDescent="0.25">
      <c r="A18" s="197"/>
      <c r="B18" s="159" t="s">
        <v>118</v>
      </c>
      <c r="C18" s="159"/>
    </row>
    <row r="19" spans="1:3" ht="14.25" x14ac:dyDescent="0.2">
      <c r="A19" s="159"/>
      <c r="B19" s="159"/>
      <c r="C19" s="159"/>
    </row>
    <row r="20" spans="1:3" ht="14.25" x14ac:dyDescent="0.2">
      <c r="A20" s="159" t="s">
        <v>126</v>
      </c>
      <c r="B20" s="159"/>
      <c r="C20" s="159"/>
    </row>
    <row r="21" spans="1:3" ht="14.25" x14ac:dyDescent="0.2">
      <c r="B21" s="159"/>
      <c r="C21" s="159"/>
    </row>
    <row r="22" spans="1:3" ht="14.25" x14ac:dyDescent="0.2">
      <c r="A22" s="159"/>
      <c r="B22" s="159"/>
      <c r="C22" s="159"/>
    </row>
    <row r="23" spans="1:3" ht="14.25" x14ac:dyDescent="0.2">
      <c r="A23" s="159"/>
      <c r="B23" s="159"/>
      <c r="C23" s="159"/>
    </row>
    <row r="24" spans="1:3" ht="14.25" x14ac:dyDescent="0.2">
      <c r="A24" s="159"/>
      <c r="B24" s="159"/>
      <c r="C24" s="159"/>
    </row>
    <row r="25" spans="1:3" ht="14.25" x14ac:dyDescent="0.2">
      <c r="A25" s="159"/>
      <c r="B25" s="159"/>
      <c r="C25" s="159"/>
    </row>
    <row r="26" spans="1:3" ht="14.25" x14ac:dyDescent="0.2">
      <c r="A26" s="159"/>
      <c r="B26" s="159"/>
      <c r="C26" s="159"/>
    </row>
    <row r="27" spans="1:3" ht="15" x14ac:dyDescent="0.25">
      <c r="A27" s="197"/>
      <c r="B27" s="159"/>
      <c r="C27" s="159"/>
    </row>
    <row r="28" spans="1:3" ht="14.25" x14ac:dyDescent="0.2">
      <c r="A28" s="159"/>
      <c r="B28" s="159"/>
      <c r="C28" s="159"/>
    </row>
    <row r="29" spans="1:3" ht="14.25" x14ac:dyDescent="0.2">
      <c r="A29" s="159"/>
      <c r="B29" s="159"/>
      <c r="C29" s="159"/>
    </row>
    <row r="30" spans="1:3" ht="14.25" x14ac:dyDescent="0.2">
      <c r="A30" s="159"/>
      <c r="B30" s="159"/>
      <c r="C30" s="159"/>
    </row>
    <row r="31" spans="1:3" ht="14.25" x14ac:dyDescent="0.2">
      <c r="A31" s="159"/>
      <c r="B31" s="159"/>
      <c r="C31" s="159"/>
    </row>
    <row r="32" spans="1:3" ht="14.25" x14ac:dyDescent="0.2">
      <c r="A32" s="159"/>
      <c r="B32" s="159"/>
      <c r="C32" s="159"/>
    </row>
    <row r="33" spans="1:3" ht="14.25" x14ac:dyDescent="0.2">
      <c r="A33" s="159"/>
      <c r="B33" s="159"/>
      <c r="C33" s="159"/>
    </row>
    <row r="34" spans="1:3" ht="14.25" x14ac:dyDescent="0.2">
      <c r="A34" s="159"/>
      <c r="B34" s="159"/>
      <c r="C34" s="159"/>
    </row>
    <row r="35" spans="1:3" ht="14.25" x14ac:dyDescent="0.2">
      <c r="A35" s="159"/>
      <c r="B35" s="159"/>
      <c r="C35" s="159"/>
    </row>
    <row r="36" spans="1:3" ht="14.25" x14ac:dyDescent="0.2">
      <c r="A36" s="159"/>
      <c r="B36" s="159"/>
      <c r="C36" s="159"/>
    </row>
    <row r="37" spans="1:3" ht="14.25" x14ac:dyDescent="0.2">
      <c r="A37" s="159"/>
      <c r="B37" s="159"/>
      <c r="C37" s="159"/>
    </row>
    <row r="38" spans="1:3" ht="14.25" x14ac:dyDescent="0.2">
      <c r="A38" s="159"/>
      <c r="B38" s="159"/>
      <c r="C38" s="159"/>
    </row>
    <row r="39" spans="1:3" ht="14.25" x14ac:dyDescent="0.2">
      <c r="A39" s="159"/>
      <c r="B39" s="159"/>
      <c r="C39" s="159"/>
    </row>
    <row r="40" spans="1:3" ht="14.25" x14ac:dyDescent="0.2">
      <c r="A40" s="159"/>
      <c r="B40" s="159"/>
      <c r="C40" s="159"/>
    </row>
    <row r="41" spans="1:3" ht="14.25" x14ac:dyDescent="0.2">
      <c r="A41" s="159"/>
      <c r="B41" s="159"/>
      <c r="C41" s="159"/>
    </row>
    <row r="42" spans="1:3" ht="14.25" x14ac:dyDescent="0.2">
      <c r="A42" s="159"/>
      <c r="B42" s="159"/>
      <c r="C42" s="159"/>
    </row>
    <row r="43" spans="1:3" ht="14.25" x14ac:dyDescent="0.2">
      <c r="A43" s="159"/>
      <c r="B43" s="159"/>
      <c r="C43" s="159"/>
    </row>
    <row r="44" spans="1:3" ht="14.25" x14ac:dyDescent="0.2">
      <c r="A44" s="159"/>
      <c r="B44" s="159"/>
      <c r="C44" s="159"/>
    </row>
    <row r="45" spans="1:3" ht="14.25" x14ac:dyDescent="0.2">
      <c r="A45" s="159"/>
      <c r="B45" s="159"/>
      <c r="C45" s="159"/>
    </row>
    <row r="46" spans="1:3" ht="14.25" x14ac:dyDescent="0.2">
      <c r="A46" s="159"/>
      <c r="B46" s="159"/>
      <c r="C46" s="159"/>
    </row>
    <row r="47" spans="1:3" ht="14.25" x14ac:dyDescent="0.2">
      <c r="A47" s="159"/>
      <c r="B47" s="159"/>
      <c r="C47" s="159"/>
    </row>
    <row r="48" spans="1:3" ht="14.25" x14ac:dyDescent="0.2">
      <c r="A48" s="159"/>
      <c r="B48" s="159"/>
      <c r="C48" s="159"/>
    </row>
    <row r="49" spans="1:3" ht="14.25" x14ac:dyDescent="0.2">
      <c r="A49" s="159"/>
      <c r="B49" s="159"/>
      <c r="C49" s="159"/>
    </row>
    <row r="50" spans="1:3" ht="14.25" x14ac:dyDescent="0.2">
      <c r="A50" s="159"/>
      <c r="B50" s="159"/>
      <c r="C50" s="159"/>
    </row>
    <row r="51" spans="1:3" ht="14.25" x14ac:dyDescent="0.2">
      <c r="A51" s="159"/>
      <c r="B51" s="159"/>
      <c r="C51" s="159"/>
    </row>
    <row r="52" spans="1:3" ht="14.25" x14ac:dyDescent="0.2">
      <c r="A52" s="159"/>
      <c r="B52" s="159"/>
      <c r="C52" s="159"/>
    </row>
    <row r="53" spans="1:3" ht="14.25" x14ac:dyDescent="0.2">
      <c r="A53" s="159"/>
      <c r="B53" s="159"/>
      <c r="C53" s="159"/>
    </row>
    <row r="54" spans="1:3" ht="14.25" x14ac:dyDescent="0.2">
      <c r="A54" s="159"/>
      <c r="B54" s="159"/>
      <c r="C54" s="159"/>
    </row>
    <row r="55" spans="1:3" ht="14.25" x14ac:dyDescent="0.2">
      <c r="A55" s="159"/>
      <c r="B55" s="159"/>
      <c r="C55" s="159"/>
    </row>
    <row r="56" spans="1:3" ht="14.25" x14ac:dyDescent="0.2">
      <c r="A56" s="159"/>
      <c r="B56" s="159"/>
      <c r="C56" s="159"/>
    </row>
    <row r="57" spans="1:3" ht="14.25" x14ac:dyDescent="0.2">
      <c r="A57" s="159"/>
      <c r="B57" s="159"/>
      <c r="C57" s="159"/>
    </row>
    <row r="58" spans="1:3" ht="14.25" x14ac:dyDescent="0.2">
      <c r="A58" s="159"/>
      <c r="B58" s="159"/>
      <c r="C58" s="159"/>
    </row>
    <row r="59" spans="1:3" ht="14.25" x14ac:dyDescent="0.2">
      <c r="A59" s="159"/>
      <c r="B59" s="159"/>
      <c r="C59" s="159"/>
    </row>
    <row r="60" spans="1:3" ht="14.25" x14ac:dyDescent="0.2">
      <c r="A60" s="159"/>
      <c r="B60" s="159"/>
      <c r="C60" s="159"/>
    </row>
    <row r="61" spans="1:3" ht="14.25" x14ac:dyDescent="0.2">
      <c r="A61" s="159"/>
      <c r="B61" s="159"/>
      <c r="C61" s="159"/>
    </row>
    <row r="62" spans="1:3" ht="14.25" x14ac:dyDescent="0.2">
      <c r="A62" s="159"/>
      <c r="B62" s="159"/>
      <c r="C62" s="159"/>
    </row>
    <row r="63" spans="1:3" ht="14.25" x14ac:dyDescent="0.2">
      <c r="A63" s="159"/>
      <c r="B63" s="159"/>
      <c r="C63" s="159"/>
    </row>
    <row r="64" spans="1:3" ht="14.25" x14ac:dyDescent="0.2">
      <c r="A64" s="159"/>
      <c r="B64" s="159"/>
      <c r="C64" s="159"/>
    </row>
    <row r="65" spans="1:3" ht="14.25" x14ac:dyDescent="0.2">
      <c r="A65" s="159"/>
      <c r="B65" s="159"/>
      <c r="C65" s="159"/>
    </row>
    <row r="66" spans="1:3" ht="14.25" x14ac:dyDescent="0.2">
      <c r="A66" s="159"/>
      <c r="B66" s="159"/>
      <c r="C66" s="159"/>
    </row>
    <row r="67" spans="1:3" ht="14.25" x14ac:dyDescent="0.2">
      <c r="A67" s="159"/>
      <c r="B67" s="159"/>
      <c r="C67" s="159"/>
    </row>
    <row r="68" spans="1:3" ht="14.25" x14ac:dyDescent="0.2">
      <c r="A68" s="159"/>
      <c r="B68" s="159"/>
      <c r="C68" s="159"/>
    </row>
    <row r="69" spans="1:3" ht="14.25" x14ac:dyDescent="0.2">
      <c r="A69" s="159"/>
      <c r="B69" s="159"/>
      <c r="C69" s="159"/>
    </row>
    <row r="70" spans="1:3" ht="14.25" x14ac:dyDescent="0.2">
      <c r="A70" s="159"/>
      <c r="B70" s="159"/>
      <c r="C70" s="159"/>
    </row>
    <row r="71" spans="1:3" ht="14.25" x14ac:dyDescent="0.2">
      <c r="A71" s="159"/>
      <c r="B71" s="159"/>
      <c r="C71" s="159"/>
    </row>
    <row r="72" spans="1:3" ht="14.25" x14ac:dyDescent="0.2">
      <c r="A72" s="159"/>
      <c r="B72" s="159"/>
      <c r="C72" s="159"/>
    </row>
    <row r="73" spans="1:3" ht="14.25" x14ac:dyDescent="0.2">
      <c r="A73" s="159"/>
      <c r="B73" s="159"/>
      <c r="C73" s="159"/>
    </row>
    <row r="74" spans="1:3" ht="14.25" x14ac:dyDescent="0.2">
      <c r="A74" s="159"/>
      <c r="B74" s="159"/>
      <c r="C74" s="159"/>
    </row>
    <row r="75" spans="1:3" ht="14.25" x14ac:dyDescent="0.2">
      <c r="A75" s="159"/>
      <c r="B75" s="159"/>
      <c r="C75" s="159"/>
    </row>
    <row r="76" spans="1:3" ht="14.25" x14ac:dyDescent="0.2">
      <c r="A76" s="159"/>
      <c r="B76" s="159"/>
      <c r="C76" s="159"/>
    </row>
    <row r="77" spans="1:3" ht="14.25" x14ac:dyDescent="0.2">
      <c r="A77" s="159"/>
      <c r="B77" s="159"/>
      <c r="C77" s="159"/>
    </row>
    <row r="78" spans="1:3" ht="14.25" x14ac:dyDescent="0.2">
      <c r="A78" s="159"/>
      <c r="B78" s="159"/>
      <c r="C78" s="159"/>
    </row>
    <row r="79" spans="1:3" ht="14.25" x14ac:dyDescent="0.2">
      <c r="A79" s="159"/>
      <c r="B79" s="159"/>
      <c r="C79" s="159"/>
    </row>
    <row r="80" spans="1:3" ht="14.25" x14ac:dyDescent="0.2">
      <c r="A80" s="159"/>
      <c r="B80" s="159"/>
      <c r="C80" s="159"/>
    </row>
    <row r="81" spans="1:3" ht="14.25" x14ac:dyDescent="0.2">
      <c r="A81" s="159"/>
      <c r="B81" s="159"/>
      <c r="C81" s="159"/>
    </row>
    <row r="82" spans="1:3" ht="14.25" x14ac:dyDescent="0.2">
      <c r="A82" s="159"/>
      <c r="B82" s="159"/>
      <c r="C82" s="159"/>
    </row>
    <row r="83" spans="1:3" ht="14.25" x14ac:dyDescent="0.2">
      <c r="A83" s="159"/>
      <c r="B83" s="159"/>
      <c r="C83" s="159"/>
    </row>
    <row r="84" spans="1:3" ht="14.25" x14ac:dyDescent="0.2">
      <c r="A84" s="159"/>
      <c r="B84" s="159"/>
      <c r="C84" s="159"/>
    </row>
    <row r="85" spans="1:3" ht="14.25" x14ac:dyDescent="0.2">
      <c r="A85" s="159"/>
      <c r="B85" s="159"/>
      <c r="C85" s="159"/>
    </row>
    <row r="86" spans="1:3" ht="14.25" x14ac:dyDescent="0.2">
      <c r="A86" s="159"/>
      <c r="B86" s="159"/>
      <c r="C86" s="159"/>
    </row>
    <row r="87" spans="1:3" ht="14.25" x14ac:dyDescent="0.2">
      <c r="A87" s="159"/>
      <c r="B87" s="159"/>
      <c r="C87" s="159"/>
    </row>
    <row r="88" spans="1:3" ht="14.25" x14ac:dyDescent="0.2">
      <c r="A88" s="159"/>
      <c r="B88" s="159"/>
      <c r="C88" s="159"/>
    </row>
    <row r="89" spans="1:3" ht="14.25" x14ac:dyDescent="0.2">
      <c r="A89" s="159"/>
      <c r="B89" s="159"/>
      <c r="C89" s="159"/>
    </row>
    <row r="90" spans="1:3" ht="14.25" x14ac:dyDescent="0.2">
      <c r="A90" s="159"/>
      <c r="B90" s="159"/>
      <c r="C90" s="159"/>
    </row>
    <row r="91" spans="1:3" ht="14.25" x14ac:dyDescent="0.2">
      <c r="A91" s="159"/>
      <c r="B91" s="159"/>
      <c r="C91" s="159"/>
    </row>
    <row r="92" spans="1:3" ht="14.25" x14ac:dyDescent="0.2">
      <c r="A92" s="159"/>
      <c r="B92" s="159"/>
      <c r="C92" s="159"/>
    </row>
    <row r="93" spans="1:3" ht="14.25" x14ac:dyDescent="0.2">
      <c r="A93" s="159"/>
      <c r="B93" s="159"/>
      <c r="C93" s="159"/>
    </row>
    <row r="94" spans="1:3" ht="14.25" x14ac:dyDescent="0.2">
      <c r="A94" s="159"/>
      <c r="B94" s="159"/>
      <c r="C94" s="159"/>
    </row>
    <row r="95" spans="1:3" ht="14.25" x14ac:dyDescent="0.2">
      <c r="A95" s="159"/>
      <c r="B95" s="159"/>
      <c r="C95" s="159"/>
    </row>
    <row r="96" spans="1:3" ht="14.25" x14ac:dyDescent="0.2">
      <c r="A96" s="159"/>
      <c r="B96" s="159"/>
      <c r="C96" s="159"/>
    </row>
    <row r="97" spans="1:3" ht="14.25" x14ac:dyDescent="0.2">
      <c r="A97" s="159"/>
      <c r="B97" s="159"/>
      <c r="C97" s="159"/>
    </row>
    <row r="98" spans="1:3" ht="14.25" x14ac:dyDescent="0.2">
      <c r="A98" s="159"/>
      <c r="B98" s="159"/>
      <c r="C98" s="159"/>
    </row>
    <row r="99" spans="1:3" ht="14.25" x14ac:dyDescent="0.2">
      <c r="A99" s="159"/>
      <c r="B99" s="159"/>
      <c r="C99" s="159"/>
    </row>
    <row r="100" spans="1:3" ht="14.25" x14ac:dyDescent="0.2">
      <c r="A100" s="159"/>
      <c r="B100" s="159"/>
      <c r="C100" s="159"/>
    </row>
    <row r="101" spans="1:3" ht="14.25" x14ac:dyDescent="0.2">
      <c r="A101" s="159"/>
      <c r="B101" s="159"/>
      <c r="C101" s="159"/>
    </row>
    <row r="102" spans="1:3" ht="14.25" x14ac:dyDescent="0.2">
      <c r="A102" s="159"/>
      <c r="B102" s="159"/>
      <c r="C102" s="159"/>
    </row>
    <row r="103" spans="1:3" ht="14.25" x14ac:dyDescent="0.2">
      <c r="A103" s="159"/>
      <c r="B103" s="159"/>
      <c r="C103" s="159"/>
    </row>
    <row r="104" spans="1:3" ht="14.25" x14ac:dyDescent="0.2">
      <c r="A104" s="159"/>
      <c r="B104" s="159"/>
      <c r="C104" s="159"/>
    </row>
    <row r="105" spans="1:3" ht="14.25" x14ac:dyDescent="0.2">
      <c r="A105" s="159"/>
      <c r="B105" s="159"/>
      <c r="C105" s="159"/>
    </row>
    <row r="106" spans="1:3" ht="14.25" x14ac:dyDescent="0.2">
      <c r="A106" s="159"/>
      <c r="B106" s="159"/>
      <c r="C106" s="159"/>
    </row>
    <row r="107" spans="1:3" ht="14.25" x14ac:dyDescent="0.2">
      <c r="A107" s="159"/>
      <c r="B107" s="159"/>
      <c r="C107" s="159"/>
    </row>
    <row r="108" spans="1:3" ht="14.25" x14ac:dyDescent="0.2">
      <c r="A108" s="159"/>
      <c r="B108" s="159"/>
      <c r="C108" s="159"/>
    </row>
    <row r="109" spans="1:3" ht="14.25" x14ac:dyDescent="0.2">
      <c r="A109" s="159"/>
      <c r="B109" s="159"/>
      <c r="C109" s="159"/>
    </row>
    <row r="110" spans="1:3" ht="14.25" x14ac:dyDescent="0.2">
      <c r="A110" s="159"/>
      <c r="B110" s="159"/>
      <c r="C110" s="159"/>
    </row>
    <row r="111" spans="1:3" ht="14.25" x14ac:dyDescent="0.2">
      <c r="A111" s="159"/>
      <c r="B111" s="159"/>
      <c r="C111" s="159"/>
    </row>
    <row r="112" spans="1:3" ht="14.25" x14ac:dyDescent="0.2">
      <c r="A112" s="159"/>
      <c r="B112" s="159"/>
      <c r="C112" s="159"/>
    </row>
    <row r="113" spans="1:3" ht="14.25" x14ac:dyDescent="0.2">
      <c r="A113" s="159"/>
      <c r="B113" s="159"/>
      <c r="C113" s="159"/>
    </row>
    <row r="114" spans="1:3" ht="14.25" x14ac:dyDescent="0.2">
      <c r="A114" s="159"/>
      <c r="B114" s="159"/>
      <c r="C114" s="159"/>
    </row>
    <row r="115" spans="1:3" ht="14.25" x14ac:dyDescent="0.2">
      <c r="A115" s="159"/>
      <c r="B115" s="159"/>
      <c r="C115" s="159"/>
    </row>
    <row r="116" spans="1:3" ht="14.25" x14ac:dyDescent="0.2">
      <c r="A116" s="159"/>
      <c r="B116" s="159"/>
      <c r="C116" s="159"/>
    </row>
    <row r="117" spans="1:3" ht="14.25" x14ac:dyDescent="0.2">
      <c r="A117" s="159"/>
      <c r="B117" s="159"/>
      <c r="C117" s="159"/>
    </row>
    <row r="118" spans="1:3" ht="14.25" x14ac:dyDescent="0.2">
      <c r="A118" s="159"/>
      <c r="B118" s="159"/>
      <c r="C118" s="159"/>
    </row>
    <row r="119" spans="1:3" ht="14.25" x14ac:dyDescent="0.2">
      <c r="A119" s="159"/>
      <c r="B119" s="159"/>
      <c r="C119" s="159"/>
    </row>
    <row r="120" spans="1:3" ht="14.25" x14ac:dyDescent="0.2">
      <c r="A120" s="159"/>
      <c r="B120" s="159"/>
      <c r="C120" s="159"/>
    </row>
    <row r="121" spans="1:3" ht="14.25" x14ac:dyDescent="0.2">
      <c r="A121" s="159"/>
      <c r="B121" s="159"/>
      <c r="C121" s="159"/>
    </row>
    <row r="122" spans="1:3" ht="14.25" x14ac:dyDescent="0.2">
      <c r="A122" s="159"/>
      <c r="B122" s="159"/>
      <c r="C122" s="159"/>
    </row>
    <row r="123" spans="1:3" ht="14.25" x14ac:dyDescent="0.2">
      <c r="A123" s="159"/>
      <c r="B123" s="159"/>
      <c r="C123" s="159"/>
    </row>
    <row r="124" spans="1:3" ht="14.25" x14ac:dyDescent="0.2">
      <c r="A124" s="159"/>
      <c r="B124" s="159"/>
      <c r="C124" s="159"/>
    </row>
    <row r="125" spans="1:3" ht="14.25" x14ac:dyDescent="0.2">
      <c r="A125" s="159"/>
      <c r="B125" s="159"/>
      <c r="C125" s="159"/>
    </row>
    <row r="126" spans="1:3" ht="14.25" x14ac:dyDescent="0.2">
      <c r="A126" s="159"/>
      <c r="B126" s="159"/>
      <c r="C126" s="159"/>
    </row>
    <row r="127" spans="1:3" ht="14.25" x14ac:dyDescent="0.2">
      <c r="A127" s="159"/>
      <c r="B127" s="159"/>
      <c r="C127" s="159"/>
    </row>
    <row r="128" spans="1:3" ht="14.25" x14ac:dyDescent="0.2">
      <c r="A128" s="159"/>
      <c r="B128" s="159"/>
      <c r="C128" s="159"/>
    </row>
    <row r="129" spans="1:3" ht="14.25" x14ac:dyDescent="0.2">
      <c r="A129" s="159"/>
      <c r="B129" s="159"/>
      <c r="C129" s="159"/>
    </row>
    <row r="130" spans="1:3" ht="14.25" x14ac:dyDescent="0.2">
      <c r="A130" s="159"/>
      <c r="B130" s="159"/>
      <c r="C130" s="159"/>
    </row>
    <row r="131" spans="1:3" ht="14.25" x14ac:dyDescent="0.2">
      <c r="A131" s="159"/>
      <c r="B131" s="159"/>
      <c r="C131" s="159"/>
    </row>
    <row r="132" spans="1:3" ht="14.25" x14ac:dyDescent="0.2">
      <c r="A132" s="159"/>
      <c r="B132" s="159"/>
      <c r="C132" s="159"/>
    </row>
    <row r="133" spans="1:3" ht="14.25" x14ac:dyDescent="0.2">
      <c r="A133" s="159"/>
      <c r="B133" s="159"/>
      <c r="C133" s="159"/>
    </row>
    <row r="134" spans="1:3" ht="14.25" x14ac:dyDescent="0.2">
      <c r="A134" s="159"/>
      <c r="B134" s="159"/>
      <c r="C134" s="159"/>
    </row>
  </sheetData>
  <mergeCells count="1">
    <mergeCell ref="A2:B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66"/>
    <pageSetUpPr fitToPage="1"/>
  </sheetPr>
  <dimension ref="A1:XFD78"/>
  <sheetViews>
    <sheetView tabSelected="1" zoomScale="120" zoomScaleNormal="120" workbookViewId="0">
      <selection activeCell="P31" sqref="P31"/>
    </sheetView>
  </sheetViews>
  <sheetFormatPr defaultRowHeight="12.75" x14ac:dyDescent="0.2"/>
  <cols>
    <col min="2" max="2" width="33" customWidth="1"/>
    <col min="3" max="14" width="13.7109375" customWidth="1"/>
    <col min="15" max="15" width="13.42578125" customWidth="1"/>
    <col min="16" max="16" width="14.42578125" bestFit="1" customWidth="1"/>
  </cols>
  <sheetData>
    <row r="1" spans="1:16" ht="72.75" customHeight="1" x14ac:dyDescent="0.4">
      <c r="A1" s="88"/>
      <c r="B1" s="88"/>
      <c r="C1" s="88"/>
      <c r="D1" s="88"/>
      <c r="E1" s="88"/>
      <c r="F1" s="88"/>
      <c r="G1" s="88"/>
      <c r="H1" s="88"/>
      <c r="I1" s="88"/>
      <c r="J1" s="88"/>
      <c r="K1" s="88"/>
      <c r="L1" s="88"/>
      <c r="M1" s="88"/>
    </row>
    <row r="3" spans="1:16" ht="27" x14ac:dyDescent="0.35">
      <c r="A3" s="238" t="s">
        <v>147</v>
      </c>
      <c r="B3" s="238"/>
      <c r="C3" s="238"/>
      <c r="D3" s="238"/>
      <c r="E3" s="238"/>
      <c r="F3" s="238"/>
      <c r="G3" s="238"/>
      <c r="H3" s="238"/>
      <c r="I3" s="238"/>
      <c r="J3" s="238"/>
      <c r="K3" s="238"/>
      <c r="L3" s="238"/>
      <c r="M3" s="238"/>
      <c r="N3" s="238"/>
      <c r="O3" s="238"/>
    </row>
    <row r="5" spans="1:16" x14ac:dyDescent="0.2">
      <c r="C5" s="208"/>
      <c r="D5" s="208"/>
      <c r="E5" s="208"/>
      <c r="F5" s="208"/>
      <c r="G5" s="208"/>
      <c r="H5" s="208"/>
      <c r="I5" s="208"/>
      <c r="J5" s="208"/>
    </row>
    <row r="6" spans="1:16" ht="15" x14ac:dyDescent="0.25">
      <c r="A6" s="59"/>
      <c r="B6" s="60"/>
      <c r="C6" s="61" t="s">
        <v>41</v>
      </c>
      <c r="D6" s="61" t="s">
        <v>42</v>
      </c>
      <c r="E6" s="61" t="s">
        <v>43</v>
      </c>
      <c r="F6" s="61" t="s">
        <v>44</v>
      </c>
      <c r="G6" s="61" t="s">
        <v>45</v>
      </c>
      <c r="H6" s="61" t="s">
        <v>46</v>
      </c>
      <c r="I6" s="61" t="s">
        <v>47</v>
      </c>
      <c r="J6" s="61" t="s">
        <v>48</v>
      </c>
      <c r="K6" s="61" t="s">
        <v>49</v>
      </c>
      <c r="L6" s="176" t="s">
        <v>50</v>
      </c>
      <c r="M6" s="61" t="s">
        <v>51</v>
      </c>
      <c r="N6" s="61" t="s">
        <v>52</v>
      </c>
      <c r="O6" s="61" t="s">
        <v>40</v>
      </c>
    </row>
    <row r="7" spans="1:16" ht="15" hidden="1" x14ac:dyDescent="0.25">
      <c r="A7" s="77"/>
      <c r="B7" s="73" t="s">
        <v>13</v>
      </c>
      <c r="C7" s="73" t="s">
        <v>14</v>
      </c>
      <c r="D7" s="73"/>
      <c r="E7" s="73"/>
      <c r="F7" s="73"/>
      <c r="G7" s="73"/>
      <c r="H7" s="73"/>
      <c r="I7" s="73"/>
      <c r="J7" s="73"/>
      <c r="K7" s="73"/>
      <c r="L7" s="73"/>
      <c r="M7" s="73"/>
      <c r="N7" s="73"/>
      <c r="O7" s="78"/>
    </row>
    <row r="8" spans="1:16" ht="15" x14ac:dyDescent="0.25">
      <c r="A8" s="83" t="s">
        <v>26</v>
      </c>
      <c r="B8" s="84"/>
      <c r="C8" s="84"/>
      <c r="D8" s="84"/>
      <c r="E8" s="84"/>
      <c r="F8" s="84"/>
      <c r="G8" s="84"/>
      <c r="H8" s="84"/>
      <c r="I8" s="84"/>
      <c r="J8" s="84"/>
      <c r="K8" s="84"/>
      <c r="L8" s="84"/>
      <c r="M8" s="84"/>
      <c r="N8" s="84"/>
      <c r="O8" s="86"/>
    </row>
    <row r="9" spans="1:16" ht="15.75" x14ac:dyDescent="0.25">
      <c r="A9" s="14"/>
      <c r="B9" s="188" t="s">
        <v>71</v>
      </c>
      <c r="C9" s="139">
        <v>354</v>
      </c>
      <c r="D9" s="139">
        <v>294</v>
      </c>
      <c r="E9" s="139">
        <v>433</v>
      </c>
      <c r="F9" s="139">
        <v>377</v>
      </c>
      <c r="G9" s="139">
        <v>386</v>
      </c>
      <c r="H9" s="139">
        <v>478</v>
      </c>
      <c r="I9" s="139">
        <v>542</v>
      </c>
      <c r="J9" s="139">
        <v>249</v>
      </c>
      <c r="K9" s="139">
        <v>289</v>
      </c>
      <c r="L9" s="139">
        <v>361</v>
      </c>
      <c r="M9" s="139"/>
      <c r="N9" s="139"/>
      <c r="O9" s="140"/>
    </row>
    <row r="10" spans="1:16" ht="15.75" x14ac:dyDescent="0.25">
      <c r="A10" s="14"/>
      <c r="B10" s="188" t="s">
        <v>72</v>
      </c>
      <c r="C10" s="139">
        <v>355</v>
      </c>
      <c r="D10" s="139">
        <v>294</v>
      </c>
      <c r="E10" s="139">
        <v>431</v>
      </c>
      <c r="F10" s="139">
        <v>373</v>
      </c>
      <c r="G10" s="139">
        <v>385</v>
      </c>
      <c r="H10" s="139">
        <v>473</v>
      </c>
      <c r="I10" s="139">
        <v>549</v>
      </c>
      <c r="J10" s="139">
        <v>246</v>
      </c>
      <c r="K10" s="139">
        <v>291</v>
      </c>
      <c r="L10" s="139">
        <v>354</v>
      </c>
      <c r="M10" s="139"/>
      <c r="N10" s="139"/>
      <c r="O10" s="140"/>
    </row>
    <row r="11" spans="1:16" ht="15.75" x14ac:dyDescent="0.25">
      <c r="A11" s="14"/>
      <c r="B11" s="188" t="s">
        <v>73</v>
      </c>
      <c r="C11" s="139">
        <v>146.46</v>
      </c>
      <c r="D11" s="139">
        <v>138.30000000000001</v>
      </c>
      <c r="E11" s="139">
        <v>167.44</v>
      </c>
      <c r="F11" s="139">
        <v>204.87</v>
      </c>
      <c r="G11" s="139">
        <v>148.33000000000001</v>
      </c>
      <c r="H11" s="139">
        <v>47.02</v>
      </c>
      <c r="I11" s="139"/>
      <c r="J11" s="139"/>
      <c r="K11" s="139"/>
      <c r="L11" s="139"/>
      <c r="M11" s="139"/>
      <c r="N11" s="139"/>
      <c r="O11" s="140"/>
    </row>
    <row r="12" spans="1:16" ht="15.75" x14ac:dyDescent="0.25">
      <c r="A12" s="14"/>
      <c r="B12" s="188" t="s">
        <v>74</v>
      </c>
      <c r="C12" s="102">
        <f>546+51</f>
        <v>597</v>
      </c>
      <c r="D12" s="102">
        <f>543+51</f>
        <v>594</v>
      </c>
      <c r="E12" s="102">
        <f>542+49</f>
        <v>591</v>
      </c>
      <c r="F12" s="102">
        <f>564+49</f>
        <v>613</v>
      </c>
      <c r="G12" s="102">
        <f>585+55</f>
        <v>640</v>
      </c>
      <c r="H12" s="102">
        <f>551+50</f>
        <v>601</v>
      </c>
      <c r="I12" s="102">
        <f>548+49</f>
        <v>597</v>
      </c>
      <c r="J12" s="102">
        <f>511+49</f>
        <v>560</v>
      </c>
      <c r="K12" s="102">
        <f>509+49</f>
        <v>558</v>
      </c>
      <c r="L12" s="102">
        <f>524+51</f>
        <v>575</v>
      </c>
      <c r="M12" s="102">
        <f>529+50</f>
        <v>579</v>
      </c>
      <c r="N12" s="102"/>
      <c r="O12" s="141"/>
    </row>
    <row r="13" spans="1:16" ht="15.75" x14ac:dyDescent="0.25">
      <c r="A13" s="14"/>
      <c r="B13" s="188"/>
      <c r="C13" s="99"/>
      <c r="D13" s="99"/>
      <c r="E13" s="99"/>
      <c r="F13" s="99"/>
      <c r="G13" s="99"/>
      <c r="H13" s="99"/>
      <c r="I13" s="99"/>
      <c r="J13" s="99"/>
      <c r="K13" s="99"/>
      <c r="L13" s="99"/>
      <c r="M13" s="99"/>
      <c r="N13" s="99"/>
      <c r="O13" s="141"/>
    </row>
    <row r="14" spans="1:16" ht="15" x14ac:dyDescent="0.25">
      <c r="A14" s="83" t="s">
        <v>0</v>
      </c>
      <c r="B14" s="84"/>
      <c r="C14" s="142"/>
      <c r="D14" s="142"/>
      <c r="E14" s="142"/>
      <c r="F14" s="142"/>
      <c r="G14" s="142"/>
      <c r="H14" s="142"/>
      <c r="I14" s="142"/>
      <c r="J14" s="142"/>
      <c r="K14" s="142"/>
      <c r="L14" s="142"/>
      <c r="M14" s="142"/>
      <c r="N14" s="142"/>
      <c r="O14" s="143"/>
    </row>
    <row r="15" spans="1:16" ht="15.75" x14ac:dyDescent="0.25">
      <c r="A15" s="16"/>
      <c r="B15" s="189" t="s">
        <v>75</v>
      </c>
      <c r="C15" s="144">
        <v>-2043.75</v>
      </c>
      <c r="D15" s="144">
        <v>10877.06</v>
      </c>
      <c r="E15" s="220">
        <v>23445.5</v>
      </c>
      <c r="F15" s="144">
        <v>3978.61</v>
      </c>
      <c r="G15" s="144">
        <v>2989.5</v>
      </c>
      <c r="H15" s="144">
        <v>2384</v>
      </c>
      <c r="I15" s="144">
        <v>3557</v>
      </c>
      <c r="J15" s="144">
        <v>10725.25</v>
      </c>
      <c r="K15" s="144">
        <v>13798</v>
      </c>
      <c r="L15" s="144">
        <v>21264</v>
      </c>
      <c r="M15" s="144"/>
      <c r="N15" s="144"/>
      <c r="O15" s="145">
        <f>SUM(C15:N15)</f>
        <v>90975.17</v>
      </c>
    </row>
    <row r="16" spans="1:16" ht="15.75" x14ac:dyDescent="0.25">
      <c r="A16" s="16"/>
      <c r="B16" s="189" t="s">
        <v>76</v>
      </c>
      <c r="C16" s="144">
        <f>105668.31+4013.95</f>
        <v>109682.26</v>
      </c>
      <c r="D16" s="144">
        <f>106209.48+4064.95</f>
        <v>110274.43</v>
      </c>
      <c r="E16" s="220">
        <f>105475.92+4526.95</f>
        <v>110002.87</v>
      </c>
      <c r="F16" s="144">
        <f>108569.08+4976.36</f>
        <v>113545.44</v>
      </c>
      <c r="G16" s="144">
        <f>112007.55+5001.43</f>
        <v>117008.98000000001</v>
      </c>
      <c r="H16" s="144">
        <f>107253.57+5018.87</f>
        <v>112272.44</v>
      </c>
      <c r="I16" s="144">
        <f>109136.74+4883.15</f>
        <v>114019.89</v>
      </c>
      <c r="J16" s="144">
        <f>102480.21+4988.46</f>
        <v>107468.67000000001</v>
      </c>
      <c r="K16" s="144">
        <f>101698.82+4556.33</f>
        <v>106255.15000000001</v>
      </c>
      <c r="L16" s="144">
        <f>104661.15+4566.14</f>
        <v>109227.29</v>
      </c>
      <c r="M16" s="144"/>
      <c r="N16" s="144"/>
      <c r="O16" s="145">
        <f t="shared" ref="O16:O21" si="0">SUM(C16:N16)</f>
        <v>1109757.42</v>
      </c>
      <c r="P16" s="40"/>
    </row>
    <row r="17" spans="1:19" ht="15.75" x14ac:dyDescent="0.25">
      <c r="A17" s="16"/>
      <c r="B17" s="189" t="s">
        <v>77</v>
      </c>
      <c r="C17" s="144">
        <f>68.54+25587.02+1079.93+613.32+830.95</f>
        <v>28179.760000000002</v>
      </c>
      <c r="D17" s="144">
        <f>10877.06+49851.42+1079.93+644.19+832.58</f>
        <v>63285.18</v>
      </c>
      <c r="E17" s="220">
        <f>150.73+12836.45+633.62+834.13+1079.93</f>
        <v>15534.86</v>
      </c>
      <c r="F17" s="144">
        <f>10491.31+16280.43+1079.93+637.09+834.14</f>
        <v>29322.899999999998</v>
      </c>
      <c r="G17" s="144">
        <f>21324.73+12651.69+1447.43+637.56+940.76</f>
        <v>37002.17</v>
      </c>
      <c r="H17" s="144">
        <f>587.52+14497.26+654.19+794.06</f>
        <v>16533.030000000002</v>
      </c>
      <c r="I17" s="144">
        <f>83.13+15667.89+2159.52+652+797.32</f>
        <v>19359.859999999997</v>
      </c>
      <c r="J17" s="144">
        <f>6389.08+10801.4+1081.38+571.87+795.69</f>
        <v>19639.419999999998</v>
      </c>
      <c r="K17" s="144">
        <f>13689.45+551.02+2063.71+1081.38+798.69</f>
        <v>18184.25</v>
      </c>
      <c r="L17" s="144">
        <f>19.9+11245.36+1081.38</f>
        <v>12346.64</v>
      </c>
      <c r="M17" s="144"/>
      <c r="N17" s="144"/>
      <c r="O17" s="145">
        <f t="shared" si="0"/>
        <v>259388.07</v>
      </c>
    </row>
    <row r="18" spans="1:19" ht="15.75" x14ac:dyDescent="0.25">
      <c r="A18" s="16"/>
      <c r="B18" s="189" t="s">
        <v>78</v>
      </c>
      <c r="C18" s="144">
        <f>152294.29-C17-C16-C15</f>
        <v>16476.020000000004</v>
      </c>
      <c r="D18" s="144">
        <f>187085.31-D17-D16-D15</f>
        <v>2648.6400000000122</v>
      </c>
      <c r="E18" s="144">
        <f>176108.55-E17-E16-E15</f>
        <v>27125.320000000007</v>
      </c>
      <c r="F18" s="144">
        <f>157294.09-F17-F16-F15</f>
        <v>10447.14</v>
      </c>
      <c r="G18" s="144">
        <f>165395.59-G15-G16-G17</f>
        <v>8394.9399999999878</v>
      </c>
      <c r="H18" s="144">
        <f>144454.63-H15-H16-H17</f>
        <v>13265.16</v>
      </c>
      <c r="I18" s="144">
        <f>153162.98-I15-I16-I17</f>
        <v>16226.230000000014</v>
      </c>
      <c r="J18" s="144">
        <f>151531.46-J15-J16-J17</f>
        <v>13698.119999999981</v>
      </c>
      <c r="K18" s="144">
        <f>202515.11-K15-K16-K17</f>
        <v>64277.709999999977</v>
      </c>
      <c r="L18" s="144">
        <f>180986.42-L15-L16-L17</f>
        <v>38148.49000000002</v>
      </c>
      <c r="M18" s="144"/>
      <c r="N18" s="144"/>
      <c r="O18" s="145">
        <f t="shared" si="0"/>
        <v>210707.77</v>
      </c>
    </row>
    <row r="19" spans="1:19" ht="15.75" x14ac:dyDescent="0.25">
      <c r="A19" s="16"/>
      <c r="B19" s="189" t="s">
        <v>79</v>
      </c>
      <c r="C19" s="144"/>
      <c r="D19" s="144"/>
      <c r="E19" s="144"/>
      <c r="F19" s="144"/>
      <c r="G19" s="144"/>
      <c r="H19" s="144"/>
      <c r="I19" s="144"/>
      <c r="J19" s="144"/>
      <c r="K19" s="144"/>
      <c r="L19" s="157"/>
      <c r="M19" s="144"/>
      <c r="N19" s="144"/>
      <c r="O19" s="145">
        <f t="shared" si="0"/>
        <v>0</v>
      </c>
    </row>
    <row r="20" spans="1:19" ht="15" x14ac:dyDescent="0.25">
      <c r="A20" s="80"/>
      <c r="B20" s="81" t="s">
        <v>1</v>
      </c>
      <c r="C20" s="146">
        <f>SUM(C15:C19)</f>
        <v>152294.28999999998</v>
      </c>
      <c r="D20" s="146">
        <f t="shared" ref="D20:N20" si="1">SUM(D15:D19)</f>
        <v>187085.31</v>
      </c>
      <c r="E20" s="146">
        <f t="shared" si="1"/>
        <v>176108.55</v>
      </c>
      <c r="F20" s="146">
        <f t="shared" si="1"/>
        <v>157294.09000000003</v>
      </c>
      <c r="G20" s="146">
        <f t="shared" si="1"/>
        <v>165395.59000000003</v>
      </c>
      <c r="H20" s="146">
        <f t="shared" si="1"/>
        <v>144454.63</v>
      </c>
      <c r="I20" s="146">
        <f t="shared" si="1"/>
        <v>153162.98000000001</v>
      </c>
      <c r="J20" s="146">
        <f t="shared" si="1"/>
        <v>151531.46000000002</v>
      </c>
      <c r="K20" s="146">
        <f t="shared" si="1"/>
        <v>202515.11</v>
      </c>
      <c r="L20" s="146">
        <f t="shared" si="1"/>
        <v>180986.42</v>
      </c>
      <c r="M20" s="146">
        <f t="shared" si="1"/>
        <v>0</v>
      </c>
      <c r="N20" s="146">
        <f t="shared" si="1"/>
        <v>0</v>
      </c>
      <c r="O20" s="147">
        <f t="shared" si="0"/>
        <v>1670828.4300000002</v>
      </c>
      <c r="P20" s="236"/>
    </row>
    <row r="21" spans="1:19" ht="15" x14ac:dyDescent="0.25">
      <c r="A21" s="16"/>
      <c r="B21" s="79">
        <v>2024</v>
      </c>
      <c r="C21" s="148">
        <f>+'2024byMonth'!C20</f>
        <v>118759.05</v>
      </c>
      <c r="D21" s="148">
        <f>+'2024byMonth'!D20</f>
        <v>178966.62</v>
      </c>
      <c r="E21" s="148">
        <f>+'2024byMonth'!E20</f>
        <v>147575.79999999999</v>
      </c>
      <c r="F21" s="148">
        <f>+'2024byMonth'!F20</f>
        <v>148185.26999999999</v>
      </c>
      <c r="G21" s="148">
        <f>+'2024byMonth'!G20</f>
        <v>144020.35999999999</v>
      </c>
      <c r="H21" s="148">
        <f>+'2024byMonth'!H20</f>
        <v>148343.70000000001</v>
      </c>
      <c r="I21" s="148">
        <f>+'2024byMonth'!I20</f>
        <v>128202.47</v>
      </c>
      <c r="J21" s="148">
        <f>+'2024byMonth'!J20</f>
        <v>144222.34</v>
      </c>
      <c r="K21" s="148">
        <f>+'2024byMonth'!K20</f>
        <v>144151.82</v>
      </c>
      <c r="L21" s="148">
        <f>+'2024byMonth'!L20</f>
        <v>158722.16000000003</v>
      </c>
      <c r="M21" s="148">
        <f>+'2024byMonth'!M20</f>
        <v>151836.95000000001</v>
      </c>
      <c r="N21" s="148">
        <f>+'2024byMonth'!N20</f>
        <v>176513.61</v>
      </c>
      <c r="O21" s="149">
        <f t="shared" si="0"/>
        <v>1789500.1500000004</v>
      </c>
      <c r="P21" s="40"/>
    </row>
    <row r="22" spans="1:19" ht="15" x14ac:dyDescent="0.25">
      <c r="A22" s="83" t="s">
        <v>2</v>
      </c>
      <c r="B22" s="85"/>
      <c r="C22" s="150"/>
      <c r="D22" s="150"/>
      <c r="E22" s="150"/>
      <c r="F22" s="150"/>
      <c r="G22" s="150"/>
      <c r="H22" s="150"/>
      <c r="I22" s="150"/>
      <c r="J22" s="150"/>
      <c r="K22" s="150"/>
      <c r="L22" s="150"/>
      <c r="M22" s="150"/>
      <c r="N22" s="150"/>
      <c r="O22" s="151"/>
      <c r="P22" s="233"/>
    </row>
    <row r="23" spans="1:19" ht="15.75" x14ac:dyDescent="0.25">
      <c r="A23" s="16"/>
      <c r="B23" s="189" t="s">
        <v>7</v>
      </c>
      <c r="C23" s="144">
        <f>66330.23-C24-C25</f>
        <v>38741.763333333329</v>
      </c>
      <c r="D23" s="144">
        <f>65653.63-D24-D25</f>
        <v>38065.163333333338</v>
      </c>
      <c r="E23" s="144">
        <f>79091.72-E24-E25</f>
        <v>38803.253333333334</v>
      </c>
      <c r="F23" s="144">
        <f>67453.98-F24-F25</f>
        <v>38865.513333333329</v>
      </c>
      <c r="G23" s="144">
        <f>67685.84-G24-G25</f>
        <v>39097.373333333329</v>
      </c>
      <c r="H23" s="144">
        <f>85146.14-H24-H25</f>
        <v>33557.673333333332</v>
      </c>
      <c r="I23" s="144">
        <f>73670.9-I24-I25</f>
        <v>39082.433333333327</v>
      </c>
      <c r="J23" s="144">
        <f>72836.06-J24-J25</f>
        <v>38247.593333333331</v>
      </c>
      <c r="K23" s="144">
        <f>70345.47-K24-K25</f>
        <v>35757.003333333334</v>
      </c>
      <c r="L23" s="144">
        <f>72376.92-L24-L25</f>
        <v>37788.453333333331</v>
      </c>
      <c r="M23" s="144"/>
      <c r="N23" s="144"/>
      <c r="O23" s="145">
        <f>SUM(C23:N23)</f>
        <v>378006.22333333333</v>
      </c>
      <c r="P23" s="208"/>
    </row>
    <row r="24" spans="1:19" ht="15.75" x14ac:dyDescent="0.25">
      <c r="A24" s="16"/>
      <c r="B24" s="189" t="s">
        <v>135</v>
      </c>
      <c r="C24" s="144">
        <f>5000</f>
        <v>5000</v>
      </c>
      <c r="D24" s="144">
        <f>5000</f>
        <v>5000</v>
      </c>
      <c r="E24" s="144">
        <f>5000+6000+2800+3900</f>
        <v>17700</v>
      </c>
      <c r="F24" s="144">
        <v>6000</v>
      </c>
      <c r="G24" s="144">
        <v>6000</v>
      </c>
      <c r="H24" s="144">
        <f>12000+17000</f>
        <v>29000</v>
      </c>
      <c r="I24" s="144">
        <v>12000</v>
      </c>
      <c r="J24" s="144">
        <v>12000</v>
      </c>
      <c r="K24" s="144">
        <v>12000</v>
      </c>
      <c r="L24" s="144">
        <v>12000</v>
      </c>
      <c r="M24" s="144"/>
      <c r="N24" s="144"/>
      <c r="O24" s="145">
        <f>SUM(C24:N24)</f>
        <v>116700</v>
      </c>
      <c r="P24" s="229"/>
    </row>
    <row r="25" spans="1:19" ht="15.75" x14ac:dyDescent="0.25">
      <c r="A25" s="16"/>
      <c r="B25" s="189" t="s">
        <v>119</v>
      </c>
      <c r="C25" s="220">
        <f t="shared" ref="C25:L25" si="2">(67500+35600)/12+(1996.8)+12000</f>
        <v>22588.466666666667</v>
      </c>
      <c r="D25" s="220">
        <f t="shared" si="2"/>
        <v>22588.466666666667</v>
      </c>
      <c r="E25" s="220">
        <f t="shared" si="2"/>
        <v>22588.466666666667</v>
      </c>
      <c r="F25" s="220">
        <f t="shared" si="2"/>
        <v>22588.466666666667</v>
      </c>
      <c r="G25" s="220">
        <f t="shared" si="2"/>
        <v>22588.466666666667</v>
      </c>
      <c r="H25" s="220">
        <f t="shared" si="2"/>
        <v>22588.466666666667</v>
      </c>
      <c r="I25" s="220">
        <f t="shared" si="2"/>
        <v>22588.466666666667</v>
      </c>
      <c r="J25" s="220">
        <f t="shared" si="2"/>
        <v>22588.466666666667</v>
      </c>
      <c r="K25" s="220">
        <f t="shared" si="2"/>
        <v>22588.466666666667</v>
      </c>
      <c r="L25" s="220">
        <f t="shared" si="2"/>
        <v>22588.466666666667</v>
      </c>
      <c r="M25" s="220"/>
      <c r="N25" s="144"/>
      <c r="O25" s="145">
        <f>SUM(C25:N25)</f>
        <v>225884.66666666672</v>
      </c>
      <c r="P25" s="208" t="s">
        <v>145</v>
      </c>
    </row>
    <row r="26" spans="1:19" ht="15.75" x14ac:dyDescent="0.25">
      <c r="A26" s="16"/>
      <c r="B26" s="189" t="s">
        <v>81</v>
      </c>
      <c r="C26" s="144">
        <v>21126.05</v>
      </c>
      <c r="D26" s="226">
        <f>(19127.2+51443)</f>
        <v>70570.2</v>
      </c>
      <c r="E26" s="226">
        <f>78949.59-51443</f>
        <v>27506.589999999997</v>
      </c>
      <c r="F26" s="220">
        <v>19740.189999999999</v>
      </c>
      <c r="G26" s="220">
        <v>23999.39</v>
      </c>
      <c r="H26" s="144">
        <v>18382.509999999998</v>
      </c>
      <c r="I26" s="144">
        <v>22458.720000000001</v>
      </c>
      <c r="J26" s="144">
        <v>21578.91</v>
      </c>
      <c r="K26" s="144">
        <v>56436.99</v>
      </c>
      <c r="L26" s="144">
        <v>33684.99</v>
      </c>
      <c r="M26" s="144"/>
      <c r="N26" s="144"/>
      <c r="O26" s="145">
        <f>SUM(C26:N26)</f>
        <v>315484.53999999998</v>
      </c>
      <c r="P26" s="208" t="s">
        <v>146</v>
      </c>
      <c r="Q26" t="s">
        <v>155</v>
      </c>
    </row>
    <row r="27" spans="1:19" ht="15.75" x14ac:dyDescent="0.25">
      <c r="A27" s="16"/>
      <c r="B27" s="189" t="s">
        <v>8</v>
      </c>
      <c r="C27" s="144">
        <f>(116373.11)-C23-C24-C25</f>
        <v>50042.880000000012</v>
      </c>
      <c r="D27" s="144">
        <f>(106526.23)-D23-D24-D25</f>
        <v>40872.599999999984</v>
      </c>
      <c r="E27" s="144">
        <f>(119384.52)-E23-E24-E25</f>
        <v>40292.799999999996</v>
      </c>
      <c r="F27" s="144">
        <f>(107759.58)-F23-F24-F25</f>
        <v>40305.600000000013</v>
      </c>
      <c r="G27" s="144">
        <f>(119305.09)-G23-G24-G25</f>
        <v>51619.250000000007</v>
      </c>
      <c r="H27" s="144">
        <f>(127247.6)-H23-H24-H25</f>
        <v>42101.46</v>
      </c>
      <c r="I27" s="144">
        <f>(115125.26)-I23-I24-I25</f>
        <v>41454.359999999993</v>
      </c>
      <c r="J27" s="144">
        <f>(116154.23)-J23-J24-J25</f>
        <v>43318.169999999991</v>
      </c>
      <c r="K27" s="144">
        <f>(115274.63)-K23-K24-K25</f>
        <v>44929.160000000011</v>
      </c>
      <c r="L27" s="144">
        <f>(126944.68-11115.85)-L23-L24-L25</f>
        <v>43451.909999999982</v>
      </c>
      <c r="M27" s="144"/>
      <c r="N27" s="144"/>
      <c r="O27" s="145">
        <f>SUM(C27:N27)</f>
        <v>438388.19</v>
      </c>
      <c r="P27" s="208"/>
    </row>
    <row r="28" spans="1:19" ht="15" x14ac:dyDescent="0.25">
      <c r="A28" s="80"/>
      <c r="B28" s="81" t="s">
        <v>15</v>
      </c>
      <c r="C28" s="146">
        <f t="shared" ref="C28:O28" si="3">SUM(C23:C27)</f>
        <v>137499.16</v>
      </c>
      <c r="D28" s="146">
        <f t="shared" si="3"/>
        <v>177096.43</v>
      </c>
      <c r="E28" s="146">
        <f t="shared" si="3"/>
        <v>146891.10999999999</v>
      </c>
      <c r="F28" s="146">
        <f t="shared" si="3"/>
        <v>127499.77000000002</v>
      </c>
      <c r="G28" s="146">
        <f t="shared" si="3"/>
        <v>143304.48000000001</v>
      </c>
      <c r="H28" s="146">
        <f t="shared" si="3"/>
        <v>145630.10999999999</v>
      </c>
      <c r="I28" s="146">
        <f t="shared" si="3"/>
        <v>137583.97999999998</v>
      </c>
      <c r="J28" s="146">
        <f t="shared" si="3"/>
        <v>137733.13999999998</v>
      </c>
      <c r="K28" s="146">
        <f t="shared" si="3"/>
        <v>171711.62</v>
      </c>
      <c r="L28" s="146">
        <f t="shared" si="3"/>
        <v>149513.81999999998</v>
      </c>
      <c r="M28" s="146">
        <f t="shared" si="3"/>
        <v>0</v>
      </c>
      <c r="N28" s="146">
        <f t="shared" si="3"/>
        <v>0</v>
      </c>
      <c r="O28" s="146">
        <f t="shared" si="3"/>
        <v>1474463.6199999999</v>
      </c>
      <c r="P28" s="40"/>
    </row>
    <row r="29" spans="1:19" ht="15" x14ac:dyDescent="0.25">
      <c r="A29" s="16"/>
      <c r="B29" s="79">
        <v>2024</v>
      </c>
      <c r="C29" s="148">
        <f>+'2024byMonth'!C28</f>
        <v>119022.28000000001</v>
      </c>
      <c r="D29" s="148">
        <f>+'2024byMonth'!D28</f>
        <v>174549.52</v>
      </c>
      <c r="E29" s="148">
        <f>+'2024byMonth'!E28</f>
        <v>121797.68000000001</v>
      </c>
      <c r="F29" s="148">
        <f>+'2024byMonth'!F28</f>
        <v>139951.44</v>
      </c>
      <c r="G29" s="148">
        <f>+'2024byMonth'!G28</f>
        <v>138324.07</v>
      </c>
      <c r="H29" s="148">
        <f>+'2024byMonth'!H28</f>
        <v>140784.81</v>
      </c>
      <c r="I29" s="148">
        <f>+'2024byMonth'!I28</f>
        <v>125529.98</v>
      </c>
      <c r="J29" s="148">
        <f>+'2024byMonth'!J28</f>
        <v>138425.91</v>
      </c>
      <c r="K29" s="148">
        <f>+'2024byMonth'!K28</f>
        <v>125469.93</v>
      </c>
      <c r="L29" s="148">
        <f>+'2024byMonth'!L28</f>
        <v>139172.08000000002</v>
      </c>
      <c r="M29" s="148">
        <f>+'2024byMonth'!M28</f>
        <v>139301.47</v>
      </c>
      <c r="N29" s="148">
        <f>+'2024byMonth'!N28</f>
        <v>174872.76</v>
      </c>
      <c r="O29" s="149">
        <f>SUM(C29:N29)</f>
        <v>1677201.93</v>
      </c>
    </row>
    <row r="30" spans="1:19" ht="15" x14ac:dyDescent="0.25">
      <c r="A30" s="83" t="s">
        <v>3</v>
      </c>
      <c r="B30" s="85"/>
      <c r="C30" s="150"/>
      <c r="D30" s="150"/>
      <c r="E30" s="150"/>
      <c r="F30" s="150"/>
      <c r="G30" s="150"/>
      <c r="H30" s="150"/>
      <c r="I30" s="150"/>
      <c r="J30" s="150"/>
      <c r="K30" s="150"/>
      <c r="L30" s="150"/>
      <c r="M30" s="150"/>
      <c r="N30" s="150"/>
      <c r="O30" s="151"/>
    </row>
    <row r="31" spans="1:19" ht="15" x14ac:dyDescent="0.25">
      <c r="A31" s="80"/>
      <c r="B31" s="62" t="s">
        <v>9</v>
      </c>
      <c r="C31" s="146">
        <f>C20-C28</f>
        <v>14795.129999999976</v>
      </c>
      <c r="D31" s="146">
        <f t="shared" ref="D31:N31" si="4">D20-D28</f>
        <v>9988.8800000000047</v>
      </c>
      <c r="E31" s="146">
        <f t="shared" si="4"/>
        <v>29217.440000000002</v>
      </c>
      <c r="F31" s="146">
        <f t="shared" si="4"/>
        <v>29794.320000000007</v>
      </c>
      <c r="G31" s="146">
        <f t="shared" si="4"/>
        <v>22091.110000000015</v>
      </c>
      <c r="H31" s="146">
        <f t="shared" si="4"/>
        <v>-1175.4799999999814</v>
      </c>
      <c r="I31" s="146">
        <f t="shared" si="4"/>
        <v>15579.000000000029</v>
      </c>
      <c r="J31" s="146">
        <f t="shared" si="4"/>
        <v>13798.320000000036</v>
      </c>
      <c r="K31" s="146">
        <f t="shared" si="4"/>
        <v>30803.489999999991</v>
      </c>
      <c r="L31" s="146">
        <f t="shared" si="4"/>
        <v>31472.600000000035</v>
      </c>
      <c r="M31" s="146">
        <f t="shared" si="4"/>
        <v>0</v>
      </c>
      <c r="N31" s="146">
        <f t="shared" si="4"/>
        <v>0</v>
      </c>
      <c r="O31" s="147">
        <f>SUM(C31:N31)</f>
        <v>196364.81000000011</v>
      </c>
      <c r="P31" s="40"/>
      <c r="S31" s="220"/>
    </row>
    <row r="32" spans="1:19" ht="15" x14ac:dyDescent="0.25">
      <c r="A32" s="16"/>
      <c r="B32" s="79">
        <v>2024</v>
      </c>
      <c r="C32" s="148">
        <f>+'2024byMonth'!C31</f>
        <v>-263.23000000001048</v>
      </c>
      <c r="D32" s="148">
        <f>+'2024byMonth'!D31</f>
        <v>4417.1000000000058</v>
      </c>
      <c r="E32" s="148">
        <f>+'2024byMonth'!E31</f>
        <v>25778.119999999981</v>
      </c>
      <c r="F32" s="148">
        <f>+'2024byMonth'!F31</f>
        <v>8233.8299999999872</v>
      </c>
      <c r="G32" s="148">
        <f>+'2024byMonth'!G31</f>
        <v>5696.289999999979</v>
      </c>
      <c r="H32" s="148">
        <f>+'2024byMonth'!H31</f>
        <v>7558.890000000014</v>
      </c>
      <c r="I32" s="148">
        <f>+'2024byMonth'!I31</f>
        <v>2672.4900000000052</v>
      </c>
      <c r="J32" s="148">
        <f>+'2024byMonth'!J31</f>
        <v>5796.429999999993</v>
      </c>
      <c r="K32" s="148">
        <f>+'2024byMonth'!K31</f>
        <v>18681.890000000014</v>
      </c>
      <c r="L32" s="148">
        <f>+'2024byMonth'!L31</f>
        <v>19550.080000000016</v>
      </c>
      <c r="M32" s="148">
        <f>+'2024byMonth'!M31</f>
        <v>12535.48000000001</v>
      </c>
      <c r="N32" s="148">
        <f>+'2024byMonth'!N31</f>
        <v>1640.8499999999767</v>
      </c>
      <c r="O32" s="149">
        <f>SUM(C32:N32)</f>
        <v>112298.21999999997</v>
      </c>
      <c r="P32" s="229"/>
      <c r="S32" s="220"/>
    </row>
    <row r="33" spans="1:19" ht="15" x14ac:dyDescent="0.25">
      <c r="A33" s="83" t="s">
        <v>6</v>
      </c>
      <c r="B33" s="85"/>
      <c r="C33" s="152"/>
      <c r="D33" s="152"/>
      <c r="E33" s="152"/>
      <c r="F33" s="152"/>
      <c r="G33" s="152"/>
      <c r="H33" s="152"/>
      <c r="I33" s="152"/>
      <c r="J33" s="152"/>
      <c r="K33" s="152"/>
      <c r="L33" s="152"/>
      <c r="M33" s="152"/>
      <c r="N33" s="152"/>
      <c r="O33" s="153"/>
      <c r="P33" s="208"/>
    </row>
    <row r="34" spans="1:19" ht="15.75" x14ac:dyDescent="0.25">
      <c r="A34" s="16"/>
      <c r="B34" s="189" t="s">
        <v>82</v>
      </c>
      <c r="C34" s="154">
        <v>8.5</v>
      </c>
      <c r="D34" s="154">
        <v>8.5</v>
      </c>
      <c r="E34" s="154">
        <v>8.5</v>
      </c>
      <c r="F34" s="154">
        <v>8.5</v>
      </c>
      <c r="G34" s="154">
        <v>8.5</v>
      </c>
      <c r="H34" s="154">
        <v>8.5</v>
      </c>
      <c r="I34" s="154">
        <v>8.5</v>
      </c>
      <c r="J34" s="154">
        <v>8.5</v>
      </c>
      <c r="K34" s="154">
        <v>7.5</v>
      </c>
      <c r="L34" s="154">
        <v>8.5</v>
      </c>
      <c r="M34" s="154"/>
      <c r="N34" s="154"/>
      <c r="O34" s="145"/>
      <c r="P34" s="40"/>
      <c r="S34" s="208"/>
    </row>
    <row r="35" spans="1:19" ht="15.75" x14ac:dyDescent="0.25">
      <c r="A35" s="16"/>
      <c r="B35" s="189" t="s">
        <v>83</v>
      </c>
      <c r="C35" s="154">
        <v>5.5</v>
      </c>
      <c r="D35" s="154">
        <v>5.5</v>
      </c>
      <c r="E35" s="154">
        <v>5.5</v>
      </c>
      <c r="F35" s="154">
        <v>5.5</v>
      </c>
      <c r="G35" s="154">
        <v>5.5</v>
      </c>
      <c r="H35" s="154">
        <v>5.5</v>
      </c>
      <c r="I35" s="154">
        <v>5.5</v>
      </c>
      <c r="J35" s="154">
        <v>5.5</v>
      </c>
      <c r="K35" s="154">
        <v>4.5</v>
      </c>
      <c r="L35" s="154">
        <v>5.5</v>
      </c>
      <c r="M35" s="154"/>
      <c r="N35" s="154"/>
      <c r="O35" s="155"/>
      <c r="P35" s="40"/>
      <c r="S35" s="208"/>
    </row>
    <row r="36" spans="1:19" ht="15.75" x14ac:dyDescent="0.25">
      <c r="A36" s="16"/>
      <c r="B36" s="189" t="s">
        <v>84</v>
      </c>
      <c r="C36" s="102">
        <v>546</v>
      </c>
      <c r="D36" s="102">
        <v>543</v>
      </c>
      <c r="E36" s="102">
        <v>542</v>
      </c>
      <c r="F36" s="102">
        <v>564</v>
      </c>
      <c r="G36" s="102">
        <v>585</v>
      </c>
      <c r="H36" s="102">
        <v>551</v>
      </c>
      <c r="I36" s="154">
        <v>548</v>
      </c>
      <c r="J36" s="154">
        <v>511</v>
      </c>
      <c r="K36" s="154">
        <v>509</v>
      </c>
      <c r="L36" s="154"/>
      <c r="M36" s="154"/>
      <c r="N36" s="154"/>
      <c r="O36" s="145"/>
    </row>
    <row r="37" spans="1:19" ht="15.75" x14ac:dyDescent="0.25">
      <c r="A37" s="16"/>
      <c r="B37" s="189" t="s">
        <v>10</v>
      </c>
      <c r="C37" s="154">
        <v>37</v>
      </c>
      <c r="D37" s="154">
        <v>36</v>
      </c>
      <c r="E37" s="154">
        <v>36</v>
      </c>
      <c r="F37" s="154">
        <v>37</v>
      </c>
      <c r="G37" s="154">
        <v>38</v>
      </c>
      <c r="H37" s="154">
        <v>38</v>
      </c>
      <c r="I37" s="154">
        <v>38</v>
      </c>
      <c r="J37" s="154">
        <v>38</v>
      </c>
      <c r="K37" s="154">
        <v>37</v>
      </c>
      <c r="L37" s="154"/>
      <c r="M37" s="154"/>
      <c r="N37" s="154"/>
      <c r="O37" s="155"/>
      <c r="S37" s="208"/>
    </row>
    <row r="38" spans="1:19" ht="15" x14ac:dyDescent="0.25">
      <c r="A38" s="16"/>
      <c r="B38" s="5"/>
      <c r="C38" s="120"/>
      <c r="D38" s="120"/>
      <c r="E38" s="120"/>
      <c r="F38" s="120"/>
      <c r="G38" s="120"/>
      <c r="H38" s="120"/>
      <c r="I38" s="120"/>
      <c r="J38" s="120"/>
      <c r="K38" s="120"/>
      <c r="L38" s="120"/>
      <c r="M38" s="120"/>
      <c r="N38" s="120"/>
      <c r="O38" s="156"/>
    </row>
    <row r="39" spans="1:19" ht="15" x14ac:dyDescent="0.25">
      <c r="A39" s="83" t="s">
        <v>4</v>
      </c>
      <c r="B39" s="85"/>
      <c r="C39" s="152"/>
      <c r="D39" s="152"/>
      <c r="E39" s="152"/>
      <c r="F39" s="152"/>
      <c r="G39" s="152"/>
      <c r="H39" s="152"/>
      <c r="I39" s="152"/>
      <c r="J39" s="152"/>
      <c r="K39" s="152"/>
      <c r="L39" s="152"/>
      <c r="M39" s="152"/>
      <c r="N39" s="152"/>
      <c r="O39" s="153"/>
    </row>
    <row r="40" spans="1:19" ht="15.75" x14ac:dyDescent="0.25">
      <c r="A40" s="16"/>
      <c r="B40" s="189" t="s">
        <v>85</v>
      </c>
      <c r="C40" s="154">
        <v>0</v>
      </c>
      <c r="D40" s="154">
        <v>0</v>
      </c>
      <c r="E40" s="154">
        <v>0</v>
      </c>
      <c r="F40" s="154">
        <v>0</v>
      </c>
      <c r="G40" s="154">
        <v>0</v>
      </c>
      <c r="H40" s="154">
        <v>0</v>
      </c>
      <c r="I40" s="154">
        <v>0</v>
      </c>
      <c r="J40" s="154">
        <v>0</v>
      </c>
      <c r="K40" s="154">
        <v>0</v>
      </c>
      <c r="L40" s="154">
        <v>0</v>
      </c>
      <c r="M40" s="154"/>
      <c r="N40" s="154"/>
      <c r="O40" s="155"/>
    </row>
    <row r="41" spans="1:19" ht="15.75" x14ac:dyDescent="0.25">
      <c r="A41" s="16"/>
      <c r="B41" s="189" t="s">
        <v>86</v>
      </c>
      <c r="C41" s="154">
        <v>0</v>
      </c>
      <c r="D41" s="154">
        <v>0</v>
      </c>
      <c r="E41" s="154">
        <v>0</v>
      </c>
      <c r="F41" s="154">
        <v>0</v>
      </c>
      <c r="G41" s="154">
        <v>2</v>
      </c>
      <c r="H41" s="154">
        <v>1</v>
      </c>
      <c r="I41" s="154"/>
      <c r="J41" s="154">
        <v>2</v>
      </c>
      <c r="K41" s="154">
        <v>2</v>
      </c>
      <c r="L41" s="154">
        <v>3</v>
      </c>
      <c r="M41" s="154"/>
      <c r="N41" s="154"/>
      <c r="O41" s="155">
        <f>SUM(C41:N41)</f>
        <v>10</v>
      </c>
    </row>
    <row r="42" spans="1:19" ht="15.75" x14ac:dyDescent="0.25">
      <c r="A42" s="16"/>
      <c r="B42" s="189" t="s">
        <v>11</v>
      </c>
      <c r="C42" s="154">
        <v>0</v>
      </c>
      <c r="D42" s="154">
        <v>0</v>
      </c>
      <c r="E42" s="154">
        <v>0</v>
      </c>
      <c r="F42" s="154">
        <v>0</v>
      </c>
      <c r="G42" s="154">
        <v>2</v>
      </c>
      <c r="H42" s="154">
        <v>0</v>
      </c>
      <c r="I42" s="154"/>
      <c r="J42" s="154">
        <v>1</v>
      </c>
      <c r="K42" s="154">
        <v>0</v>
      </c>
      <c r="L42" s="154">
        <v>0</v>
      </c>
      <c r="M42" s="154"/>
      <c r="N42" s="154"/>
      <c r="O42" s="155">
        <f>SUM(C42:N42)</f>
        <v>3</v>
      </c>
    </row>
    <row r="43" spans="1:19" ht="15.75" x14ac:dyDescent="0.25">
      <c r="A43" s="16"/>
      <c r="B43" s="189" t="s">
        <v>12</v>
      </c>
      <c r="C43" s="154">
        <v>0</v>
      </c>
      <c r="D43" s="154">
        <v>0</v>
      </c>
      <c r="E43" s="154">
        <v>0</v>
      </c>
      <c r="F43" s="154">
        <v>1</v>
      </c>
      <c r="G43" s="154">
        <v>2</v>
      </c>
      <c r="H43" s="154">
        <v>0</v>
      </c>
      <c r="I43" s="154">
        <v>0</v>
      </c>
      <c r="J43" s="154">
        <v>1</v>
      </c>
      <c r="K43" s="154">
        <v>1</v>
      </c>
      <c r="L43" s="154">
        <v>0</v>
      </c>
      <c r="M43" s="154"/>
      <c r="N43" s="154"/>
      <c r="O43" s="155">
        <f>SUM(C43:N43)</f>
        <v>5</v>
      </c>
    </row>
    <row r="44" spans="1:19" ht="15.75" x14ac:dyDescent="0.25">
      <c r="A44" s="16"/>
      <c r="B44" s="189" t="s">
        <v>87</v>
      </c>
      <c r="C44" s="225">
        <v>0</v>
      </c>
      <c r="D44" s="225">
        <v>0</v>
      </c>
      <c r="E44" s="225">
        <v>0</v>
      </c>
      <c r="F44" s="225">
        <v>813</v>
      </c>
      <c r="G44" s="225">
        <f>989+1100</f>
        <v>2089</v>
      </c>
      <c r="H44" s="225">
        <v>0</v>
      </c>
      <c r="I44" s="225">
        <v>0</v>
      </c>
      <c r="J44" s="225">
        <v>1605</v>
      </c>
      <c r="K44" s="225">
        <v>866</v>
      </c>
      <c r="L44" s="225"/>
      <c r="M44" s="225"/>
      <c r="N44" s="225"/>
      <c r="O44" s="230">
        <f>SUM(C44:N44)</f>
        <v>5373</v>
      </c>
    </row>
    <row r="45" spans="1:19" ht="15.75" x14ac:dyDescent="0.25">
      <c r="A45" s="16"/>
      <c r="B45" s="189" t="s">
        <v>88</v>
      </c>
      <c r="C45" s="225">
        <v>0</v>
      </c>
      <c r="D45" s="225">
        <v>182.4</v>
      </c>
      <c r="E45" s="225">
        <v>0</v>
      </c>
      <c r="F45" s="225">
        <v>0</v>
      </c>
      <c r="G45" s="225">
        <v>2354</v>
      </c>
      <c r="H45" s="225">
        <v>0</v>
      </c>
      <c r="I45" s="225">
        <v>0</v>
      </c>
      <c r="J45" s="225">
        <v>11627</v>
      </c>
      <c r="K45" s="225">
        <f>415.73+415.35</f>
        <v>831.08</v>
      </c>
      <c r="L45" s="225"/>
      <c r="M45" s="225"/>
      <c r="N45" s="225"/>
      <c r="O45" s="230">
        <f>SUM(C45:N45)</f>
        <v>14994.48</v>
      </c>
    </row>
    <row r="46" spans="1:19" ht="15.75" thickBot="1" x14ac:dyDescent="0.3">
      <c r="A46" s="18"/>
      <c r="B46" s="190"/>
      <c r="C46" s="227"/>
      <c r="D46" s="227"/>
      <c r="E46" s="227"/>
      <c r="F46" s="227"/>
      <c r="G46" s="227"/>
      <c r="H46" s="227"/>
      <c r="I46" s="227"/>
      <c r="J46" s="227"/>
      <c r="K46" s="227"/>
      <c r="L46" s="227"/>
      <c r="M46" s="227"/>
      <c r="N46" s="228"/>
      <c r="O46" s="87"/>
    </row>
    <row r="47" spans="1:19" x14ac:dyDescent="0.2">
      <c r="B47" s="213"/>
    </row>
    <row r="48" spans="1:19" ht="15.75" x14ac:dyDescent="0.25">
      <c r="B48" s="212" t="s">
        <v>120</v>
      </c>
      <c r="C48" s="210">
        <f>(C15+C16)/(C23+C25+C27)</f>
        <v>0.96646766890140701</v>
      </c>
      <c r="D48" s="210">
        <f t="shared" ref="D48:N48" si="5">(D15+D16)/(D23+D25+D27)</f>
        <v>1.1933023613700617</v>
      </c>
      <c r="E48" s="210">
        <f t="shared" si="5"/>
        <v>1.3123764561213449</v>
      </c>
      <c r="F48" s="210">
        <f t="shared" si="5"/>
        <v>1.1549187801286127</v>
      </c>
      <c r="G48" s="210">
        <f t="shared" si="5"/>
        <v>1.0590740451289524</v>
      </c>
      <c r="H48" s="210">
        <f t="shared" si="5"/>
        <v>1.167015173907556</v>
      </c>
      <c r="I48" s="210">
        <f t="shared" si="5"/>
        <v>1.1401366648675604</v>
      </c>
      <c r="J48" s="210">
        <f t="shared" si="5"/>
        <v>1.1347971176974765</v>
      </c>
      <c r="K48" s="210">
        <f t="shared" si="5"/>
        <v>1.1624650700757777</v>
      </c>
      <c r="L48" s="210">
        <f t="shared" si="5"/>
        <v>1.2567924535025581</v>
      </c>
      <c r="M48" s="210" t="e">
        <f t="shared" si="5"/>
        <v>#DIV/0!</v>
      </c>
      <c r="N48" s="210" t="e">
        <f t="shared" si="5"/>
        <v>#DIV/0!</v>
      </c>
      <c r="O48" s="215"/>
    </row>
    <row r="49" spans="2:15" ht="15.75" x14ac:dyDescent="0.25">
      <c r="B49" s="212" t="s">
        <v>121</v>
      </c>
      <c r="C49" s="211">
        <f>(C15+C16)-(C23+C24+C25+C27)</f>
        <v>-8734.6000000000204</v>
      </c>
      <c r="D49" s="211">
        <f t="shared" ref="D49:N49" si="6">(D15+D16)-(D23+D24+D25+D27)</f>
        <v>14625.260000000009</v>
      </c>
      <c r="E49" s="211">
        <f t="shared" si="6"/>
        <v>14063.850000000006</v>
      </c>
      <c r="F49" s="211">
        <f t="shared" si="6"/>
        <v>9764.4699999999866</v>
      </c>
      <c r="G49" s="211">
        <f t="shared" si="6"/>
        <v>693.39000000001397</v>
      </c>
      <c r="H49" s="211">
        <f t="shared" si="6"/>
        <v>-12591.160000000003</v>
      </c>
      <c r="I49" s="211">
        <f t="shared" si="6"/>
        <v>2451.6300000000192</v>
      </c>
      <c r="J49" s="211">
        <f t="shared" si="6"/>
        <v>2039.6900000000314</v>
      </c>
      <c r="K49" s="211">
        <f t="shared" si="6"/>
        <v>4778.5200000000041</v>
      </c>
      <c r="L49" s="211">
        <f t="shared" si="6"/>
        <v>14662.460000000006</v>
      </c>
      <c r="M49" s="211">
        <f t="shared" si="6"/>
        <v>0</v>
      </c>
      <c r="N49" s="211">
        <f t="shared" si="6"/>
        <v>0</v>
      </c>
      <c r="O49" s="216"/>
    </row>
    <row r="51" spans="2:15" x14ac:dyDescent="0.2">
      <c r="B51" t="s">
        <v>122</v>
      </c>
      <c r="C51" s="208"/>
      <c r="D51" s="208"/>
      <c r="E51" s="208"/>
      <c r="F51" s="208"/>
      <c r="G51" s="208"/>
      <c r="H51" s="208"/>
      <c r="I51" s="208"/>
      <c r="J51" s="208"/>
      <c r="K51" s="208"/>
      <c r="L51" s="208"/>
      <c r="M51" s="208"/>
      <c r="N51" s="208"/>
    </row>
    <row r="52" spans="2:15" x14ac:dyDescent="0.2">
      <c r="B52" t="s">
        <v>124</v>
      </c>
      <c r="C52" s="208"/>
      <c r="D52" s="208"/>
      <c r="E52" s="208"/>
      <c r="F52" s="208"/>
      <c r="G52" s="208"/>
      <c r="H52" s="208"/>
      <c r="I52" s="208"/>
      <c r="J52" s="208"/>
      <c r="K52" s="208"/>
      <c r="L52" s="217"/>
      <c r="M52" s="217"/>
      <c r="N52" s="208"/>
    </row>
    <row r="53" spans="2:15" x14ac:dyDescent="0.2">
      <c r="B53" s="39" t="s">
        <v>137</v>
      </c>
      <c r="C53" s="217"/>
      <c r="D53" s="217"/>
      <c r="E53" s="217"/>
      <c r="F53" s="217"/>
      <c r="G53" s="217"/>
      <c r="H53" s="217"/>
      <c r="I53" s="217"/>
      <c r="J53" s="217"/>
      <c r="K53" s="217"/>
      <c r="L53" s="217"/>
      <c r="M53" s="217"/>
      <c r="N53" s="217"/>
    </row>
    <row r="54" spans="2:15" x14ac:dyDescent="0.2">
      <c r="B54" t="s">
        <v>125</v>
      </c>
      <c r="C54" s="219" t="e">
        <f t="shared" ref="C54:J54" si="7">C51/C53</f>
        <v>#DIV/0!</v>
      </c>
      <c r="D54" s="219" t="e">
        <f t="shared" si="7"/>
        <v>#DIV/0!</v>
      </c>
      <c r="E54" s="219" t="e">
        <f t="shared" si="7"/>
        <v>#DIV/0!</v>
      </c>
      <c r="F54" s="219" t="e">
        <f t="shared" si="7"/>
        <v>#DIV/0!</v>
      </c>
      <c r="G54" s="219" t="e">
        <f t="shared" si="7"/>
        <v>#DIV/0!</v>
      </c>
      <c r="H54" s="219" t="e">
        <f t="shared" si="7"/>
        <v>#DIV/0!</v>
      </c>
      <c r="I54" s="219" t="e">
        <f t="shared" si="7"/>
        <v>#DIV/0!</v>
      </c>
      <c r="J54" s="219" t="e">
        <f t="shared" si="7"/>
        <v>#DIV/0!</v>
      </c>
      <c r="K54" s="219" t="e">
        <f>K51/K53</f>
        <v>#DIV/0!</v>
      </c>
      <c r="L54" s="219" t="e">
        <f>L51/L53</f>
        <v>#DIV/0!</v>
      </c>
      <c r="M54" s="219" t="e">
        <f>M51/M53</f>
        <v>#DIV/0!</v>
      </c>
      <c r="N54" s="219" t="e">
        <f>N51/N53</f>
        <v>#DIV/0!</v>
      </c>
    </row>
    <row r="55" spans="2:15" x14ac:dyDescent="0.2">
      <c r="B55" s="39" t="s">
        <v>136</v>
      </c>
      <c r="C55" s="217">
        <v>147356.82999999999</v>
      </c>
      <c r="D55" s="217">
        <f>(147356.83+116925.27)/2</f>
        <v>132141.04999999999</v>
      </c>
      <c r="E55" s="217">
        <f>(147356.83+116925.27+120343.62)/3</f>
        <v>128208.57333333332</v>
      </c>
      <c r="F55" s="217">
        <f>(147356.83+116925.27+120343.62+138491.51)/4</f>
        <v>130779.3075</v>
      </c>
      <c r="G55" s="217">
        <f>(147356.83+116925.27+120343.62+138491.51+138042.19+597.8)/5</f>
        <v>132351.44399999999</v>
      </c>
      <c r="H55" s="217">
        <f>(147356.83+116925.27+120343.62+138491.51+138042.19+597.8+140725.11-15773.16)/6</f>
        <v>131118.19499999998</v>
      </c>
      <c r="I55" s="217">
        <f>(147356.83+116925.27+120343.62+138491.51+138042.19+597.8+140725.11-15773.16+138636.7)/7</f>
        <v>132192.26714285713</v>
      </c>
      <c r="J55" s="217">
        <f>(147356.83+116925.27+120343.62+138491.51+138042.19+597.8+140725.11-15773.16+138636.7+(140564.69))/8</f>
        <v>133238.81999999998</v>
      </c>
      <c r="K55" s="217">
        <f>(147356.83+116925.27+120343.62+138491.51+138042.19+597.8+140725.11-15773.16+138636.7+(140564.69)+113901.78)/9</f>
        <v>131090.25999999998</v>
      </c>
      <c r="L55" s="217">
        <f>(147356.83+116925.27+120343.62+138491.51+138042.19+597.8+140725.11-15773.16+138636.7+(140564.69)+113901.78+121307.79)/10</f>
        <v>130112.01299999999</v>
      </c>
      <c r="M55" s="217">
        <f>(147356.83+116925.27+120343.62+138491.51+138042.19+597.8+140725.11-15773.16+138636.7+(140564.69)+113901.78+121307.79+121307.79)/11</f>
        <v>129311.62909090909</v>
      </c>
      <c r="N55" s="217">
        <f>(147356.83+116925.27+120343.62+138491.51+138042.19+597.8+140725.11-15773.16+138636.7+(140564.69)+113901.78+121307.79+121307.79+123898.08-1737.41)/12</f>
        <v>128715.71583333334</v>
      </c>
    </row>
    <row r="56" spans="2:15" x14ac:dyDescent="0.2"/>
    <row r="57" spans="2:15" x14ac:dyDescent="0.2">
      <c r="B57" t="s">
        <v>128</v>
      </c>
      <c r="C57" s="217">
        <f>1133556.01/12</f>
        <v>94463.000833333339</v>
      </c>
      <c r="D57" s="217"/>
    </row>
    <row r="58" spans="2:15" x14ac:dyDescent="0.2">
      <c r="B58" t="s">
        <v>123</v>
      </c>
      <c r="C58" s="217">
        <f>1185695.14/12</f>
        <v>98807.92833333333</v>
      </c>
    </row>
    <row r="59" spans="2:15" x14ac:dyDescent="0.2">
      <c r="B59" t="s">
        <v>127</v>
      </c>
      <c r="C59" s="217">
        <v>100792.36333333334</v>
      </c>
    </row>
    <row r="60" spans="2:15" x14ac:dyDescent="0.2">
      <c r="B60" t="s">
        <v>129</v>
      </c>
      <c r="C60" s="217">
        <v>95324</v>
      </c>
    </row>
    <row r="61" spans="2:15" x14ac:dyDescent="0.2">
      <c r="B61" s="39" t="s">
        <v>131</v>
      </c>
      <c r="C61" s="217">
        <v>103455.2814748978</v>
      </c>
    </row>
    <row r="63" spans="2:15" x14ac:dyDescent="0.2">
      <c r="B63" s="39" t="s">
        <v>134</v>
      </c>
      <c r="C63" s="219">
        <f>(C20-C26)/(C23+C25)</f>
        <v>2.1387208233199191</v>
      </c>
      <c r="D63" s="219">
        <f>(D20-D26)/(D23+D25)</f>
        <v>1.9209915383465095</v>
      </c>
      <c r="E63" s="219">
        <f>(E20-E26)/(E23+E25)</f>
        <v>2.4205537815197227</v>
      </c>
      <c r="F63" s="219">
        <f>(F20-F26)/(F23+F25)</f>
        <v>2.2383237017358359</v>
      </c>
      <c r="G63" s="219">
        <f t="shared" ref="G63:O63" si="8">(G20-G26)/(G23+G25)</f>
        <v>2.2921986634209732</v>
      </c>
      <c r="H63" s="219">
        <f t="shared" si="8"/>
        <v>2.2454280917619629</v>
      </c>
      <c r="I63" s="219">
        <f t="shared" si="8"/>
        <v>2.1193830477583435</v>
      </c>
      <c r="J63" s="219">
        <f t="shared" si="8"/>
        <v>2.1361105567980574</v>
      </c>
      <c r="K63" s="219">
        <f t="shared" si="8"/>
        <v>2.5036754352994328</v>
      </c>
      <c r="L63" s="219">
        <f t="shared" si="8"/>
        <v>2.4396976526792029</v>
      </c>
      <c r="M63" s="219" t="e">
        <f t="shared" si="8"/>
        <v>#DIV/0!</v>
      </c>
      <c r="N63" s="223" t="e">
        <f t="shared" si="8"/>
        <v>#DIV/0!</v>
      </c>
      <c r="O63" s="219">
        <f t="shared" si="8"/>
        <v>2.2443522703248595</v>
      </c>
    </row>
    <row r="64" spans="2:15" x14ac:dyDescent="0.2">
      <c r="B64" s="39" t="s">
        <v>133</v>
      </c>
    </row>
    <row r="66" spans="2:15 16384:16384" x14ac:dyDescent="0.2">
      <c r="B66" t="s">
        <v>130</v>
      </c>
      <c r="C66" s="207">
        <f>(C20-C26)/C20</f>
        <v>0.86128140457531277</v>
      </c>
      <c r="D66" s="207">
        <f t="shared" ref="D66:N66" si="9">(D20-D26)/D20</f>
        <v>0.62279133514010265</v>
      </c>
      <c r="E66" s="207">
        <f t="shared" si="9"/>
        <v>0.84380888946050603</v>
      </c>
      <c r="F66" s="207">
        <f t="shared" si="9"/>
        <v>0.87450138781438003</v>
      </c>
      <c r="G66" s="207">
        <f t="shared" si="9"/>
        <v>0.85489703806492057</v>
      </c>
      <c r="H66" s="207">
        <f t="shared" si="9"/>
        <v>0.8727454426348259</v>
      </c>
      <c r="I66" s="207">
        <f t="shared" si="9"/>
        <v>0.85336717789115879</v>
      </c>
      <c r="J66" s="207">
        <f t="shared" si="9"/>
        <v>0.85759452195603469</v>
      </c>
      <c r="K66" s="207">
        <f t="shared" si="9"/>
        <v>0.72131960918866744</v>
      </c>
      <c r="L66" s="207">
        <f t="shared" si="9"/>
        <v>0.81388111881543379</v>
      </c>
      <c r="M66" s="207" t="e">
        <f t="shared" si="9"/>
        <v>#DIV/0!</v>
      </c>
      <c r="N66" s="207" t="e">
        <f t="shared" si="9"/>
        <v>#DIV/0!</v>
      </c>
    </row>
    <row r="67" spans="2:15 16384:16384" x14ac:dyDescent="0.2">
      <c r="C67" s="207">
        <f>(C20-C26-C31)/C20</f>
        <v>0.76413311359211189</v>
      </c>
      <c r="D67" s="207">
        <f>(D20-D26-D31)/D20</f>
        <v>0.56939922220509986</v>
      </c>
      <c r="E67" s="207">
        <f>(E20-E26-E31)/E20</f>
        <v>0.67790303196522828</v>
      </c>
    </row>
    <row r="68" spans="2:15 16384:16384" x14ac:dyDescent="0.2">
      <c r="C68" s="221">
        <f>(C20-(C26+12000))/C20</f>
        <v>0.78248659224190209</v>
      </c>
      <c r="D68" s="221">
        <f>(D20-(D26+12000))/D20</f>
        <v>0.55864947386836517</v>
      </c>
      <c r="E68" s="221">
        <f>(E20-(E26+12000))/E20</f>
        <v>0.77566909726983724</v>
      </c>
      <c r="F68" s="221"/>
      <c r="G68" s="221"/>
      <c r="H68" s="221"/>
      <c r="I68" s="221"/>
      <c r="J68" s="221"/>
      <c r="K68" s="221"/>
      <c r="L68" s="221"/>
      <c r="M68" s="221"/>
      <c r="N68" s="221"/>
      <c r="O68" s="221"/>
    </row>
    <row r="69" spans="2:15 16384:16384" x14ac:dyDescent="0.2">
      <c r="C69" s="209">
        <f>(C20-(C26+14000)-C31)/C20</f>
        <v>0.67220583253646615</v>
      </c>
      <c r="D69" s="209">
        <f>(D20-(D26+14000)-D31)/D20</f>
        <v>0.49456705072140617</v>
      </c>
      <c r="E69" s="209">
        <f>(E20-(E26+14000)-E31)/E20</f>
        <v>0.59840660774278132</v>
      </c>
      <c r="F69" s="209"/>
      <c r="G69" s="209"/>
      <c r="H69" s="209"/>
      <c r="I69" s="209"/>
      <c r="J69" s="209"/>
      <c r="K69" s="209"/>
      <c r="L69" s="209"/>
      <c r="M69" s="209"/>
      <c r="N69" s="209"/>
      <c r="O69" s="209"/>
      <c r="XFD69" s="209"/>
    </row>
    <row r="71" spans="2:15 16384:16384" x14ac:dyDescent="0.2">
      <c r="C71" s="209">
        <f>(130-100)/130</f>
        <v>0.23076923076923078</v>
      </c>
      <c r="D71" s="209"/>
      <c r="E71" s="209"/>
      <c r="F71" s="209"/>
      <c r="G71" s="209"/>
      <c r="H71" s="209"/>
      <c r="I71" s="209"/>
      <c r="J71" s="209"/>
      <c r="K71" s="209"/>
      <c r="L71" s="209"/>
    </row>
    <row r="72" spans="2:15 16384:16384" x14ac:dyDescent="0.2">
      <c r="B72" s="209"/>
      <c r="C72" s="39"/>
      <c r="E72" s="209"/>
      <c r="H72" s="209"/>
      <c r="K72" s="209"/>
    </row>
    <row r="73" spans="2:15 16384:16384" x14ac:dyDescent="0.2">
      <c r="N73" s="39"/>
    </row>
    <row r="74" spans="2:15 16384:16384" x14ac:dyDescent="0.2">
      <c r="B74" t="s">
        <v>132</v>
      </c>
      <c r="C74" s="40">
        <f>(C20-C26)/C34</f>
        <v>15431.557647058822</v>
      </c>
      <c r="D74" s="40">
        <f t="shared" ref="D74:N74" si="10">(D20-D26)/D34</f>
        <v>13707.66</v>
      </c>
      <c r="E74" s="40">
        <f t="shared" si="10"/>
        <v>17482.583529411764</v>
      </c>
      <c r="F74" s="40">
        <f t="shared" si="10"/>
        <v>16182.811764705884</v>
      </c>
      <c r="G74" s="40">
        <f t="shared" si="10"/>
        <v>16634.847058823532</v>
      </c>
      <c r="H74" s="40">
        <f t="shared" si="10"/>
        <v>14832.014117647061</v>
      </c>
      <c r="I74" s="40">
        <f t="shared" si="10"/>
        <v>15376.971764705884</v>
      </c>
      <c r="J74" s="40">
        <f t="shared" si="10"/>
        <v>15288.53529411765</v>
      </c>
      <c r="K74" s="40">
        <f t="shared" si="10"/>
        <v>19477.082666666665</v>
      </c>
      <c r="L74" s="40">
        <f t="shared" si="10"/>
        <v>17329.580000000002</v>
      </c>
      <c r="M74" s="40" t="e">
        <f t="shared" si="10"/>
        <v>#DIV/0!</v>
      </c>
      <c r="N74" s="40" t="e">
        <f t="shared" si="10"/>
        <v>#DIV/0!</v>
      </c>
      <c r="O74" s="40">
        <f>(O20-O26)/3</f>
        <v>451781.29666666669</v>
      </c>
    </row>
    <row r="75" spans="2:15 16384:16384" x14ac:dyDescent="0.2">
      <c r="C75" s="209"/>
      <c r="D75" s="209"/>
      <c r="E75" s="209"/>
      <c r="F75" s="209"/>
      <c r="G75" s="222"/>
      <c r="H75" s="222"/>
      <c r="I75" s="222"/>
      <c r="J75" s="222"/>
      <c r="K75" s="222"/>
      <c r="L75" s="222"/>
      <c r="M75" s="222"/>
      <c r="N75" s="222"/>
    </row>
    <row r="76" spans="2:15 16384:16384" x14ac:dyDescent="0.2">
      <c r="B76" s="209"/>
      <c r="E76" s="209"/>
      <c r="G76" s="41"/>
      <c r="H76" s="222"/>
      <c r="I76" s="39"/>
      <c r="J76" s="39"/>
      <c r="K76" s="222"/>
      <c r="L76" s="39"/>
      <c r="N76" s="222"/>
    </row>
    <row r="77" spans="2:15 16384:16384" x14ac:dyDescent="0.2">
      <c r="C77" t="s">
        <v>138</v>
      </c>
      <c r="G77" s="41"/>
      <c r="H77" s="39"/>
      <c r="I77" s="39"/>
      <c r="J77" s="39"/>
      <c r="K77" s="39"/>
      <c r="L77" s="39"/>
      <c r="N77" s="39"/>
    </row>
    <row r="78" spans="2:15 16384:16384" x14ac:dyDescent="0.2">
      <c r="G78" s="39"/>
      <c r="H78" s="39"/>
      <c r="I78" s="39"/>
      <c r="J78" s="39"/>
      <c r="K78" s="39"/>
      <c r="L78" s="39"/>
    </row>
  </sheetData>
  <mergeCells count="1">
    <mergeCell ref="A3:O3"/>
  </mergeCells>
  <printOptions horizontalCentered="1"/>
  <pageMargins left="0.7" right="0.7" top="0.75" bottom="0.75" header="0.3" footer="0.3"/>
  <pageSetup scale="46" orientation="landscape" r:id="rId1"/>
  <headerFooter>
    <oddHeader>&amp;R&amp;D</oddHeader>
    <oddFooter>&amp;R&amp;Z&amp;F</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M66"/>
  <sheetViews>
    <sheetView topLeftCell="A6" zoomScale="118" zoomScaleNormal="118" workbookViewId="0">
      <selection activeCell="F7" sqref="F7"/>
    </sheetView>
  </sheetViews>
  <sheetFormatPr defaultRowHeight="15" x14ac:dyDescent="0.25"/>
  <cols>
    <col min="1" max="1" width="21.140625" style="3" customWidth="1"/>
    <col min="2" max="2" width="33.5703125" style="3" customWidth="1"/>
    <col min="3" max="6" width="24.28515625" style="3" customWidth="1"/>
    <col min="7" max="7" width="19.5703125" style="3" customWidth="1"/>
    <col min="8" max="8" width="9.140625" style="3"/>
    <col min="9" max="9" width="12" style="3" customWidth="1"/>
    <col min="10" max="10" width="12.5703125" style="3" customWidth="1"/>
    <col min="11" max="11" width="11.42578125" style="3" customWidth="1"/>
    <col min="12" max="12" width="10.85546875" style="3" customWidth="1"/>
    <col min="13" max="13" width="11.140625" style="3" customWidth="1"/>
    <col min="14" max="16384" width="9.140625" style="3"/>
  </cols>
  <sheetData>
    <row r="1" spans="1:13" s="1" customFormat="1" ht="80.099999999999994" customHeight="1" x14ac:dyDescent="0.2">
      <c r="F1" s="4"/>
    </row>
    <row r="2" spans="1:13" s="2" customFormat="1" ht="20.25" x14ac:dyDescent="0.2">
      <c r="A2" s="239" t="s">
        <v>148</v>
      </c>
      <c r="B2" s="239"/>
      <c r="C2" s="239"/>
      <c r="D2" s="239"/>
      <c r="E2" s="239"/>
      <c r="F2" s="239"/>
      <c r="G2" s="69"/>
    </row>
    <row r="3" spans="1:13" x14ac:dyDescent="0.25">
      <c r="A3" s="7"/>
    </row>
    <row r="4" spans="1:13" s="10" customFormat="1" ht="13.5" hidden="1" customHeight="1" x14ac:dyDescent="0.2">
      <c r="A4"/>
      <c r="B4"/>
      <c r="C4"/>
      <c r="D4"/>
      <c r="E4"/>
      <c r="F4"/>
      <c r="I4" s="10">
        <v>2010</v>
      </c>
    </row>
    <row r="6" spans="1:13" ht="15.75" thickBot="1" x14ac:dyDescent="0.3">
      <c r="A6" s="64" t="s">
        <v>26</v>
      </c>
      <c r="B6" s="60"/>
      <c r="C6" s="61" t="s">
        <v>149</v>
      </c>
      <c r="D6" s="61" t="s">
        <v>150</v>
      </c>
      <c r="E6" s="61" t="s">
        <v>151</v>
      </c>
      <c r="F6" s="61" t="s">
        <v>152</v>
      </c>
      <c r="G6" s="61" t="s">
        <v>40</v>
      </c>
      <c r="I6"/>
      <c r="J6"/>
      <c r="K6"/>
      <c r="L6"/>
      <c r="M6"/>
    </row>
    <row r="7" spans="1:13" x14ac:dyDescent="0.25">
      <c r="A7" s="45"/>
      <c r="B7" s="46" t="s">
        <v>13</v>
      </c>
      <c r="C7" s="46" t="s">
        <v>14</v>
      </c>
      <c r="D7" s="46" t="s">
        <v>14</v>
      </c>
      <c r="E7" s="46" t="s">
        <v>14</v>
      </c>
      <c r="F7" s="46" t="s">
        <v>14</v>
      </c>
      <c r="G7" s="47"/>
      <c r="I7"/>
      <c r="J7"/>
      <c r="K7"/>
      <c r="L7"/>
      <c r="M7"/>
    </row>
    <row r="8" spans="1:13" x14ac:dyDescent="0.25">
      <c r="A8" s="68"/>
      <c r="B8" s="49"/>
      <c r="C8" s="49"/>
      <c r="D8" s="50"/>
      <c r="E8" s="50"/>
      <c r="F8" s="51"/>
      <c r="G8" s="51"/>
      <c r="I8"/>
      <c r="J8"/>
      <c r="K8"/>
      <c r="L8"/>
      <c r="M8"/>
    </row>
    <row r="9" spans="1:13" ht="15.75" x14ac:dyDescent="0.25">
      <c r="A9" s="14"/>
      <c r="B9" s="188" t="s">
        <v>71</v>
      </c>
      <c r="C9" s="56">
        <f>+MonthlyINPUT!C9+MonthlyINPUT!D9+MonthlyINPUT!E9</f>
        <v>1081</v>
      </c>
      <c r="D9" s="56">
        <f>+MonthlyINPUT!F9+MonthlyINPUT!G9+MonthlyINPUT!H9</f>
        <v>1241</v>
      </c>
      <c r="E9" s="56">
        <f>+MonthlyINPUT!I9+MonthlyINPUT!J9+MonthlyINPUT!K9</f>
        <v>1080</v>
      </c>
      <c r="F9" s="158">
        <f>+MonthlyINPUT!L9+MonthlyINPUT!M9+MonthlyINPUT!N9</f>
        <v>361</v>
      </c>
      <c r="G9" s="158">
        <f>+C9+D9+E9+F9</f>
        <v>3763</v>
      </c>
      <c r="I9"/>
      <c r="J9"/>
      <c r="K9"/>
      <c r="L9"/>
      <c r="M9"/>
    </row>
    <row r="10" spans="1:13" ht="15.75" x14ac:dyDescent="0.25">
      <c r="A10" s="14"/>
      <c r="B10" s="188" t="s">
        <v>72</v>
      </c>
      <c r="C10" s="56">
        <f>+MonthlyINPUT!C10+MonthlyINPUT!D10+MonthlyINPUT!E10</f>
        <v>1080</v>
      </c>
      <c r="D10" s="56">
        <f>+MonthlyINPUT!F10+MonthlyINPUT!G10+MonthlyINPUT!H10</f>
        <v>1231</v>
      </c>
      <c r="E10" s="56">
        <f>+MonthlyINPUT!I10+MonthlyINPUT!J10+MonthlyINPUT!K10</f>
        <v>1086</v>
      </c>
      <c r="F10" s="158">
        <f>+MonthlyINPUT!L10+MonthlyINPUT!M10+MonthlyINPUT!N10</f>
        <v>354</v>
      </c>
      <c r="G10" s="158">
        <f>+C10+D10+E10+F10</f>
        <v>3751</v>
      </c>
      <c r="I10"/>
      <c r="J10"/>
      <c r="K10"/>
      <c r="L10"/>
      <c r="M10"/>
    </row>
    <row r="11" spans="1:13" ht="15.75" x14ac:dyDescent="0.25">
      <c r="A11" s="14"/>
      <c r="B11" s="188" t="s">
        <v>73</v>
      </c>
      <c r="C11" s="56">
        <f>+MonthlyINPUT!C11+MonthlyINPUT!D11+MonthlyINPUT!E11</f>
        <v>452.2</v>
      </c>
      <c r="D11" s="56">
        <f>+MonthlyINPUT!F11+MonthlyINPUT!G11+MonthlyINPUT!H11</f>
        <v>400.22</v>
      </c>
      <c r="E11" s="56">
        <f>+MonthlyINPUT!I11+MonthlyINPUT!J11+MonthlyINPUT!K11</f>
        <v>0</v>
      </c>
      <c r="F11" s="158">
        <f>+MonthlyINPUT!L11+MonthlyINPUT!M11+MonthlyINPUT!N11</f>
        <v>0</v>
      </c>
      <c r="G11" s="158">
        <f>+C11+D11+E11+F11</f>
        <v>852.42000000000007</v>
      </c>
      <c r="I11"/>
      <c r="J11"/>
      <c r="K11"/>
      <c r="L11"/>
      <c r="M11"/>
    </row>
    <row r="12" spans="1:13" ht="15.75" x14ac:dyDescent="0.25">
      <c r="A12" s="14"/>
      <c r="B12" s="188" t="s">
        <v>74</v>
      </c>
      <c r="C12" s="56">
        <f>+(MonthlyINPUT!C12+MonthlyINPUT!D12+MonthlyINPUT!E12)/3</f>
        <v>594</v>
      </c>
      <c r="D12" s="56">
        <f>+(MonthlyINPUT!F12+MonthlyINPUT!G12+MonthlyINPUT!H12)/3</f>
        <v>618</v>
      </c>
      <c r="E12" s="56">
        <f>+(MonthlyINPUT!I12+MonthlyINPUT!J12+MonthlyINPUT!K12)/3</f>
        <v>571.66666666666663</v>
      </c>
      <c r="F12" s="158">
        <f>+(MonthlyINPUT!L12+MonthlyINPUT!M12+MonthlyINPUT!N12)/3</f>
        <v>384.66666666666669</v>
      </c>
      <c r="G12" s="158">
        <f>+C12+D12+E12+F12</f>
        <v>2168.333333333333</v>
      </c>
      <c r="I12"/>
      <c r="J12"/>
      <c r="K12"/>
      <c r="L12"/>
      <c r="M12"/>
    </row>
    <row r="13" spans="1:13" ht="15.75" x14ac:dyDescent="0.25">
      <c r="A13" s="14"/>
      <c r="B13" s="188"/>
      <c r="C13" s="11"/>
      <c r="D13" s="12"/>
      <c r="E13" s="12"/>
      <c r="F13" s="15"/>
      <c r="G13" s="15"/>
      <c r="I13"/>
      <c r="J13"/>
      <c r="K13"/>
      <c r="L13"/>
      <c r="M13"/>
    </row>
    <row r="14" spans="1:13" x14ac:dyDescent="0.25">
      <c r="A14" s="64" t="s">
        <v>0</v>
      </c>
      <c r="B14" s="42"/>
      <c r="C14" s="42"/>
      <c r="D14" s="58"/>
      <c r="E14" s="58"/>
      <c r="F14" s="44"/>
      <c r="G14" s="44"/>
      <c r="I14"/>
      <c r="J14"/>
      <c r="K14"/>
      <c r="L14"/>
      <c r="M14"/>
    </row>
    <row r="15" spans="1:13" ht="15.75" x14ac:dyDescent="0.25">
      <c r="A15" s="16"/>
      <c r="B15" s="189" t="s">
        <v>75</v>
      </c>
      <c r="C15" s="177">
        <f>+MonthlyINPUT!C15+MonthlyINPUT!D15+MonthlyINPUT!E15</f>
        <v>32278.809999999998</v>
      </c>
      <c r="D15" s="177">
        <f>+MonthlyINPUT!F15+MonthlyINPUT!G15+MonthlyINPUT!H15</f>
        <v>9352.11</v>
      </c>
      <c r="E15" s="177">
        <f>+MonthlyINPUT!I15+MonthlyINPUT!J15+MonthlyINPUT!K15</f>
        <v>28080.25</v>
      </c>
      <c r="F15" s="178">
        <f>+MonthlyINPUT!L15+MonthlyINPUT!M15+MonthlyINPUT!N15</f>
        <v>21264</v>
      </c>
      <c r="G15" s="178">
        <f t="shared" ref="G15:G20" si="0">+C15+D15+E15+F15</f>
        <v>90975.17</v>
      </c>
      <c r="I15"/>
      <c r="J15"/>
      <c r="K15"/>
      <c r="L15"/>
      <c r="M15"/>
    </row>
    <row r="16" spans="1:13" ht="15.75" x14ac:dyDescent="0.25">
      <c r="A16" s="16"/>
      <c r="B16" s="189" t="s">
        <v>76</v>
      </c>
      <c r="C16" s="177">
        <f>+MonthlyINPUT!C16+MonthlyINPUT!D16+MonthlyINPUT!E16</f>
        <v>329959.56</v>
      </c>
      <c r="D16" s="177">
        <f>+MonthlyINPUT!F16+MonthlyINPUT!G16+MonthlyINPUT!H16</f>
        <v>342826.86</v>
      </c>
      <c r="E16" s="177">
        <f>+MonthlyINPUT!I16+MonthlyINPUT!J16+MonthlyINPUT!K16</f>
        <v>327743.71000000002</v>
      </c>
      <c r="F16" s="178">
        <f>+MonthlyINPUT!L16+MonthlyINPUT!M16+MonthlyINPUT!N16</f>
        <v>109227.29</v>
      </c>
      <c r="G16" s="178">
        <f t="shared" si="0"/>
        <v>1109757.42</v>
      </c>
      <c r="I16"/>
      <c r="J16"/>
      <c r="K16"/>
      <c r="L16"/>
      <c r="M16"/>
    </row>
    <row r="17" spans="1:13" ht="15.75" x14ac:dyDescent="0.25">
      <c r="A17" s="16"/>
      <c r="B17" s="189" t="s">
        <v>77</v>
      </c>
      <c r="C17" s="177">
        <f>+MonthlyINPUT!C17+MonthlyINPUT!D17+MonthlyINPUT!E17</f>
        <v>106999.8</v>
      </c>
      <c r="D17" s="177">
        <f>+MonthlyINPUT!F17+MonthlyINPUT!G17+MonthlyINPUT!H17</f>
        <v>82858.099999999991</v>
      </c>
      <c r="E17" s="177">
        <f>+MonthlyINPUT!I17+MonthlyINPUT!J17+MonthlyINPUT!K17</f>
        <v>57183.53</v>
      </c>
      <c r="F17" s="178">
        <f>+MonthlyINPUT!L17+MonthlyINPUT!M17+MonthlyINPUT!N17</f>
        <v>12346.64</v>
      </c>
      <c r="G17" s="178">
        <f t="shared" si="0"/>
        <v>259388.07</v>
      </c>
      <c r="I17"/>
      <c r="J17"/>
      <c r="K17"/>
      <c r="L17"/>
      <c r="M17"/>
    </row>
    <row r="18" spans="1:13" ht="15.75" x14ac:dyDescent="0.25">
      <c r="A18" s="16"/>
      <c r="B18" s="189" t="s">
        <v>78</v>
      </c>
      <c r="C18" s="177">
        <f>+MonthlyINPUT!C18+MonthlyINPUT!D18+MonthlyINPUT!E18</f>
        <v>46249.980000000025</v>
      </c>
      <c r="D18" s="177">
        <f>+MonthlyINPUT!F18+MonthlyINPUT!G18+MonthlyINPUT!H18</f>
        <v>32107.239999999987</v>
      </c>
      <c r="E18" s="177">
        <f>+MonthlyINPUT!I18+MonthlyINPUT!J18+MonthlyINPUT!K18</f>
        <v>94202.059999999969</v>
      </c>
      <c r="F18" s="178">
        <f>+MonthlyINPUT!L18+MonthlyINPUT!M18+MonthlyINPUT!N18</f>
        <v>38148.49000000002</v>
      </c>
      <c r="G18" s="178">
        <f t="shared" si="0"/>
        <v>210707.77</v>
      </c>
      <c r="I18"/>
      <c r="J18"/>
      <c r="K18"/>
      <c r="L18"/>
      <c r="M18"/>
    </row>
    <row r="19" spans="1:13" ht="15.75" x14ac:dyDescent="0.25">
      <c r="A19" s="16"/>
      <c r="B19" s="189" t="s">
        <v>79</v>
      </c>
      <c r="C19" s="177">
        <f>+MonthlyINPUT!C19+MonthlyINPUT!D19+MonthlyINPUT!E19</f>
        <v>0</v>
      </c>
      <c r="D19" s="177">
        <f>+MonthlyINPUT!F19+MonthlyINPUT!G19+MonthlyINPUT!H19</f>
        <v>0</v>
      </c>
      <c r="E19" s="177">
        <f>+MonthlyINPUT!I19+MonthlyINPUT!J19+MonthlyINPUT!K19</f>
        <v>0</v>
      </c>
      <c r="F19" s="178">
        <f>+MonthlyINPUT!L19+MonthlyINPUT!M19+MonthlyINPUT!N19</f>
        <v>0</v>
      </c>
      <c r="G19" s="178">
        <f t="shared" si="0"/>
        <v>0</v>
      </c>
      <c r="I19"/>
      <c r="J19"/>
      <c r="K19"/>
      <c r="L19"/>
      <c r="M19"/>
    </row>
    <row r="20" spans="1:13" x14ac:dyDescent="0.25">
      <c r="A20" s="16"/>
      <c r="B20" s="6" t="s">
        <v>1</v>
      </c>
      <c r="C20" s="179">
        <f>SUM(C15:C19)</f>
        <v>515488.15</v>
      </c>
      <c r="D20" s="179">
        <f>SUM(D15:D19)</f>
        <v>467144.30999999994</v>
      </c>
      <c r="E20" s="179">
        <f>SUM(E15:E19)</f>
        <v>507209.54999999993</v>
      </c>
      <c r="F20" s="180">
        <f>SUM(F15:F19)</f>
        <v>180986.42</v>
      </c>
      <c r="G20" s="180">
        <f t="shared" si="0"/>
        <v>1670828.4299999997</v>
      </c>
      <c r="I20"/>
      <c r="J20"/>
      <c r="K20"/>
      <c r="L20"/>
      <c r="M20"/>
    </row>
    <row r="21" spans="1:13" x14ac:dyDescent="0.25">
      <c r="A21" s="16"/>
      <c r="B21" s="5"/>
      <c r="C21" s="13"/>
      <c r="D21" s="13"/>
      <c r="E21" s="13"/>
      <c r="F21" s="17"/>
      <c r="G21" s="181"/>
      <c r="I21"/>
      <c r="J21"/>
      <c r="K21"/>
      <c r="L21"/>
      <c r="M21"/>
    </row>
    <row r="22" spans="1:13" x14ac:dyDescent="0.25">
      <c r="A22" s="64" t="s">
        <v>2</v>
      </c>
      <c r="B22" s="43"/>
      <c r="C22" s="58"/>
      <c r="D22" s="58"/>
      <c r="E22" s="58"/>
      <c r="F22" s="63"/>
      <c r="G22" s="182"/>
      <c r="I22"/>
      <c r="J22"/>
      <c r="K22"/>
      <c r="L22"/>
      <c r="M22"/>
    </row>
    <row r="23" spans="1:13" ht="15.75" x14ac:dyDescent="0.25">
      <c r="A23" s="16"/>
      <c r="B23" s="189" t="s">
        <v>7</v>
      </c>
      <c r="C23" s="177">
        <f>+MonthlyINPUT!C23+MonthlyINPUT!D23+MonthlyINPUT!E23</f>
        <v>115610.18</v>
      </c>
      <c r="D23" s="177">
        <f>+MonthlyINPUT!F23+MonthlyINPUT!G23+MonthlyINPUT!H23</f>
        <v>111520.56</v>
      </c>
      <c r="E23" s="177">
        <f>+MonthlyINPUT!I23+MonthlyINPUT!J23+MonthlyINPUT!K23</f>
        <v>113087.03</v>
      </c>
      <c r="F23" s="178">
        <f>+MonthlyINPUT!L23+MonthlyINPUT!M23+MonthlyINPUT!N23</f>
        <v>37788.453333333331</v>
      </c>
      <c r="G23" s="178">
        <f t="shared" ref="G23:G28" si="1">+C23+D23+E23+F23</f>
        <v>378006.22333333333</v>
      </c>
      <c r="I23"/>
      <c r="J23"/>
      <c r="K23"/>
      <c r="L23"/>
      <c r="M23"/>
    </row>
    <row r="24" spans="1:13" ht="15.75" x14ac:dyDescent="0.25">
      <c r="A24" s="16"/>
      <c r="B24" s="189" t="s">
        <v>135</v>
      </c>
      <c r="C24" s="177">
        <f>+MonthlyINPUT!C24+MonthlyINPUT!D24+MonthlyINPUT!E24</f>
        <v>27700</v>
      </c>
      <c r="D24" s="177">
        <f>+MonthlyINPUT!F24+MonthlyINPUT!G24+MonthlyINPUT!H24</f>
        <v>41000</v>
      </c>
      <c r="E24" s="177">
        <f>+MonthlyINPUT!I24+MonthlyINPUT!J24+MonthlyINPUT!K24</f>
        <v>36000</v>
      </c>
      <c r="F24" s="178">
        <f>+MonthlyINPUT!L24+MonthlyINPUT!M24+MonthlyINPUT!N24</f>
        <v>12000</v>
      </c>
      <c r="G24" s="178">
        <f t="shared" si="1"/>
        <v>116700</v>
      </c>
      <c r="I24"/>
      <c r="J24"/>
      <c r="K24"/>
      <c r="L24"/>
      <c r="M24"/>
    </row>
    <row r="25" spans="1:13" ht="15.75" x14ac:dyDescent="0.25">
      <c r="A25" s="16"/>
      <c r="B25" s="189" t="s">
        <v>80</v>
      </c>
      <c r="C25" s="177">
        <f>+MonthlyINPUT!C25+MonthlyINPUT!D25+MonthlyINPUT!E25</f>
        <v>67765.399999999994</v>
      </c>
      <c r="D25" s="177">
        <f>+MonthlyINPUT!F25+MonthlyINPUT!G25+MonthlyINPUT!H25</f>
        <v>67765.399999999994</v>
      </c>
      <c r="E25" s="177">
        <f>+MonthlyINPUT!I25+MonthlyINPUT!J25+MonthlyINPUT!K25</f>
        <v>67765.399999999994</v>
      </c>
      <c r="F25" s="178">
        <f>+MonthlyINPUT!L25+MonthlyINPUT!M25+MonthlyINPUT!N25</f>
        <v>22588.466666666667</v>
      </c>
      <c r="G25" s="178">
        <f t="shared" si="1"/>
        <v>225884.66666666666</v>
      </c>
      <c r="I25"/>
      <c r="J25"/>
      <c r="K25"/>
      <c r="L25"/>
      <c r="M25"/>
    </row>
    <row r="26" spans="1:13" ht="15.75" x14ac:dyDescent="0.25">
      <c r="A26" s="16"/>
      <c r="B26" s="189" t="s">
        <v>81</v>
      </c>
      <c r="C26" s="177">
        <f>+MonthlyINPUT!C26+MonthlyINPUT!D26+MonthlyINPUT!E26</f>
        <v>119202.84</v>
      </c>
      <c r="D26" s="177">
        <f>+MonthlyINPUT!F26+MonthlyINPUT!G26+MonthlyINPUT!H26</f>
        <v>62122.09</v>
      </c>
      <c r="E26" s="177">
        <f>+MonthlyINPUT!I26+MonthlyINPUT!J26+MonthlyINPUT!K26</f>
        <v>100474.62</v>
      </c>
      <c r="F26" s="178">
        <f>+MonthlyINPUT!L26+MonthlyINPUT!M26+MonthlyINPUT!N26</f>
        <v>33684.99</v>
      </c>
      <c r="G26" s="178">
        <f t="shared" si="1"/>
        <v>315484.53999999998</v>
      </c>
      <c r="I26"/>
      <c r="J26"/>
      <c r="K26"/>
      <c r="L26"/>
      <c r="M26"/>
    </row>
    <row r="27" spans="1:13" ht="15.75" x14ac:dyDescent="0.25">
      <c r="A27" s="16"/>
      <c r="B27" s="189" t="s">
        <v>8</v>
      </c>
      <c r="C27" s="177">
        <f>+MonthlyINPUT!C27+MonthlyINPUT!D27+MonthlyINPUT!E27</f>
        <v>131208.28</v>
      </c>
      <c r="D27" s="177">
        <f>+MonthlyINPUT!F27+MonthlyINPUT!G27+MonthlyINPUT!H27</f>
        <v>134026.31000000003</v>
      </c>
      <c r="E27" s="177">
        <f>+MonthlyINPUT!I27+MonthlyINPUT!J27+MonthlyINPUT!K27</f>
        <v>129701.69</v>
      </c>
      <c r="F27" s="178">
        <f>+MonthlyINPUT!L27+MonthlyINPUT!M27+MonthlyINPUT!N27</f>
        <v>43451.909999999982</v>
      </c>
      <c r="G27" s="178">
        <f t="shared" si="1"/>
        <v>438388.19</v>
      </c>
      <c r="I27" s="40"/>
      <c r="J27"/>
      <c r="K27"/>
      <c r="L27"/>
      <c r="M27"/>
    </row>
    <row r="28" spans="1:13" x14ac:dyDescent="0.25">
      <c r="A28" s="16"/>
      <c r="B28" s="6" t="s">
        <v>15</v>
      </c>
      <c r="C28" s="179">
        <f>SUM(C23:C27)</f>
        <v>461486.69999999995</v>
      </c>
      <c r="D28" s="179">
        <f>SUM(D23:D27)</f>
        <v>416434.36</v>
      </c>
      <c r="E28" s="179">
        <f>SUM(E23:E27)</f>
        <v>447028.74</v>
      </c>
      <c r="F28" s="180">
        <f>SUM(F23:F27)</f>
        <v>149513.81999999998</v>
      </c>
      <c r="G28" s="180">
        <f t="shared" si="1"/>
        <v>1474463.6199999999</v>
      </c>
      <c r="I28"/>
      <c r="J28"/>
      <c r="K28"/>
      <c r="L28"/>
      <c r="M28"/>
    </row>
    <row r="29" spans="1:13" x14ac:dyDescent="0.25">
      <c r="A29" s="16"/>
      <c r="B29" s="5"/>
      <c r="C29" s="13"/>
      <c r="D29" s="13"/>
      <c r="E29" s="13"/>
      <c r="F29" s="17"/>
      <c r="G29" s="181"/>
      <c r="I29"/>
      <c r="J29"/>
      <c r="K29"/>
      <c r="L29"/>
      <c r="M29"/>
    </row>
    <row r="30" spans="1:13" x14ac:dyDescent="0.25">
      <c r="A30" s="64" t="s">
        <v>3</v>
      </c>
      <c r="B30" s="43"/>
      <c r="C30" s="58"/>
      <c r="D30" s="58"/>
      <c r="E30" s="58"/>
      <c r="F30" s="63"/>
      <c r="G30" s="182"/>
      <c r="I30"/>
      <c r="J30"/>
      <c r="K30"/>
      <c r="L30"/>
      <c r="M30"/>
    </row>
    <row r="31" spans="1:13" x14ac:dyDescent="0.25">
      <c r="A31" s="16"/>
      <c r="B31" s="5" t="s">
        <v>9</v>
      </c>
      <c r="C31" s="179">
        <f>C20-C28</f>
        <v>54001.45000000007</v>
      </c>
      <c r="D31" s="179">
        <f>D20-D28</f>
        <v>50709.949999999953</v>
      </c>
      <c r="E31" s="179">
        <f>E20-E28</f>
        <v>60180.809999999939</v>
      </c>
      <c r="F31" s="180">
        <f>F20-F28</f>
        <v>31472.600000000035</v>
      </c>
      <c r="G31" s="180">
        <f>+C31+D31+E31+F31</f>
        <v>196364.81</v>
      </c>
      <c r="I31" s="209"/>
      <c r="J31"/>
      <c r="K31"/>
      <c r="L31"/>
      <c r="M31"/>
    </row>
    <row r="32" spans="1:13" x14ac:dyDescent="0.25">
      <c r="A32" s="16"/>
      <c r="B32" s="5"/>
      <c r="C32" s="13"/>
      <c r="D32" s="13"/>
      <c r="E32" s="13"/>
      <c r="F32" s="17"/>
      <c r="G32" s="17"/>
      <c r="I32"/>
      <c r="J32"/>
      <c r="K32"/>
      <c r="L32"/>
      <c r="M32"/>
    </row>
    <row r="33" spans="1:13" x14ac:dyDescent="0.25">
      <c r="A33" s="64" t="s">
        <v>6</v>
      </c>
      <c r="B33" s="43"/>
      <c r="C33" s="58"/>
      <c r="D33" s="58"/>
      <c r="E33" s="58"/>
      <c r="F33" s="63"/>
      <c r="G33" s="63"/>
      <c r="I33"/>
      <c r="J33"/>
      <c r="K33"/>
      <c r="L33"/>
      <c r="M33"/>
    </row>
    <row r="34" spans="1:13" ht="15.75" x14ac:dyDescent="0.25">
      <c r="A34" s="16"/>
      <c r="B34" s="189" t="s">
        <v>82</v>
      </c>
      <c r="C34" s="56">
        <f>+(MonthlyINPUT!C34+MonthlyINPUT!D34+MonthlyINPUT!E34)/3</f>
        <v>8.5</v>
      </c>
      <c r="D34" s="56">
        <f>+(MonthlyINPUT!F34+MonthlyINPUT!G34+MonthlyINPUT!H34)/3</f>
        <v>8.5</v>
      </c>
      <c r="E34" s="56">
        <f>+(MonthlyINPUT!I34+MonthlyINPUT!J34+MonthlyINPUT!K34)/3</f>
        <v>8.1666666666666661</v>
      </c>
      <c r="F34" s="158">
        <f>+(MonthlyINPUT!L34+MonthlyINPUT!M34+MonthlyINPUT!N34)/3</f>
        <v>2.8333333333333335</v>
      </c>
      <c r="G34" s="53"/>
      <c r="I34"/>
      <c r="J34"/>
      <c r="K34"/>
      <c r="L34"/>
      <c r="M34"/>
    </row>
    <row r="35" spans="1:13" ht="15.75" x14ac:dyDescent="0.25">
      <c r="A35" s="16"/>
      <c r="B35" s="189" t="s">
        <v>83</v>
      </c>
      <c r="C35" s="56">
        <f>+(MonthlyINPUT!C35+MonthlyINPUT!D35+MonthlyINPUT!E35)/3</f>
        <v>5.5</v>
      </c>
      <c r="D35" s="56">
        <f>+(MonthlyINPUT!F35+MonthlyINPUT!G35+MonthlyINPUT!H35)/3</f>
        <v>5.5</v>
      </c>
      <c r="E35" s="56">
        <f>+(MonthlyINPUT!I35+MonthlyINPUT!J35+MonthlyINPUT!K35)/3</f>
        <v>5.166666666666667</v>
      </c>
      <c r="F35" s="158">
        <f>+(MonthlyINPUT!L35+MonthlyINPUT!M35+MonthlyINPUT!N35)/3</f>
        <v>1.8333333333333333</v>
      </c>
      <c r="G35" s="53"/>
      <c r="I35"/>
      <c r="J35"/>
      <c r="K35"/>
      <c r="L35"/>
      <c r="M35"/>
    </row>
    <row r="36" spans="1:13" ht="15.75" x14ac:dyDescent="0.25">
      <c r="A36" s="16"/>
      <c r="B36" s="189" t="s">
        <v>84</v>
      </c>
      <c r="C36" s="56">
        <f>+(MonthlyINPUT!C36+MonthlyINPUT!D36+MonthlyINPUT!E36)/3</f>
        <v>543.66666666666663</v>
      </c>
      <c r="D36" s="56">
        <f>+(MonthlyINPUT!F36+MonthlyINPUT!G36+MonthlyINPUT!H36)/3</f>
        <v>566.66666666666663</v>
      </c>
      <c r="E36" s="56">
        <f>+(MonthlyINPUT!I36+MonthlyINPUT!J36+MonthlyINPUT!K36)/3</f>
        <v>522.66666666666663</v>
      </c>
      <c r="F36" s="158">
        <f>+(MonthlyINPUT!L36+MonthlyINPUT!M36+MonthlyINPUT!N36)/3</f>
        <v>0</v>
      </c>
      <c r="G36" s="53"/>
      <c r="I36"/>
      <c r="J36"/>
      <c r="K36"/>
      <c r="L36"/>
      <c r="M36"/>
    </row>
    <row r="37" spans="1:13" ht="15.75" x14ac:dyDescent="0.25">
      <c r="A37" s="16"/>
      <c r="B37" s="189" t="s">
        <v>10</v>
      </c>
      <c r="C37" s="56">
        <f>+(MonthlyINPUT!C37+MonthlyINPUT!D37+MonthlyINPUT!E37)/3</f>
        <v>36.333333333333336</v>
      </c>
      <c r="D37" s="56">
        <f>+(MonthlyINPUT!F37+MonthlyINPUT!G37+MonthlyINPUT!H37)/3</f>
        <v>37.666666666666664</v>
      </c>
      <c r="E37" s="56">
        <f>+(MonthlyINPUT!I37+MonthlyINPUT!J37+MonthlyINPUT!K37)/3</f>
        <v>37.666666666666664</v>
      </c>
      <c r="F37" s="158">
        <f>+(MonthlyINPUT!L37+MonthlyINPUT!M37+MonthlyINPUT!N37)/3</f>
        <v>0</v>
      </c>
      <c r="G37" s="53"/>
      <c r="I37"/>
      <c r="J37"/>
      <c r="K37"/>
      <c r="L37"/>
      <c r="M37"/>
    </row>
    <row r="38" spans="1:13" x14ac:dyDescent="0.25">
      <c r="A38" s="16"/>
      <c r="B38" s="5"/>
      <c r="C38" s="13"/>
      <c r="D38" s="13"/>
      <c r="E38" s="13"/>
      <c r="F38" s="17"/>
      <c r="G38" s="17"/>
      <c r="I38"/>
      <c r="J38"/>
      <c r="K38"/>
      <c r="L38"/>
      <c r="M38"/>
    </row>
    <row r="39" spans="1:13" x14ac:dyDescent="0.25">
      <c r="A39" s="64" t="s">
        <v>4</v>
      </c>
      <c r="B39" s="65"/>
      <c r="C39" s="66"/>
      <c r="D39" s="66"/>
      <c r="E39" s="66"/>
      <c r="F39" s="67"/>
      <c r="G39" s="67"/>
      <c r="I39"/>
      <c r="J39"/>
      <c r="K39"/>
      <c r="L39"/>
      <c r="M39"/>
    </row>
    <row r="40" spans="1:13" ht="15.75" x14ac:dyDescent="0.25">
      <c r="A40" s="16"/>
      <c r="B40" s="189" t="s">
        <v>85</v>
      </c>
      <c r="C40" s="56">
        <f>+MonthlyINPUT!C40+MonthlyINPUT!D40+MonthlyINPUT!E40</f>
        <v>0</v>
      </c>
      <c r="D40" s="56">
        <f>+MonthlyINPUT!F40+MonthlyINPUT!G40+MonthlyINPUT!H40</f>
        <v>0</v>
      </c>
      <c r="E40" s="56">
        <f>+MonthlyINPUT!I40+MonthlyINPUT!J40+MonthlyINPUT!K40</f>
        <v>0</v>
      </c>
      <c r="F40" s="158">
        <f>+MonthlyINPUT!L40+MonthlyINPUT!M40+MonthlyINPUT!N40</f>
        <v>0</v>
      </c>
      <c r="G40" s="53">
        <f t="shared" ref="G40:G45" si="2">+C40+D40+E40+F40</f>
        <v>0</v>
      </c>
      <c r="I40"/>
      <c r="J40"/>
      <c r="K40"/>
      <c r="L40"/>
      <c r="M40"/>
    </row>
    <row r="41" spans="1:13" ht="15.75" x14ac:dyDescent="0.25">
      <c r="A41" s="16"/>
      <c r="B41" s="189" t="s">
        <v>86</v>
      </c>
      <c r="C41" s="56">
        <f>+MonthlyINPUT!C41+MonthlyINPUT!D41+MonthlyINPUT!E41</f>
        <v>0</v>
      </c>
      <c r="D41" s="56">
        <f>+MonthlyINPUT!F41+MonthlyINPUT!G41+MonthlyINPUT!H41</f>
        <v>3</v>
      </c>
      <c r="E41" s="56">
        <f>+MonthlyINPUT!I41+MonthlyINPUT!J41+MonthlyINPUT!K41</f>
        <v>4</v>
      </c>
      <c r="F41" s="158">
        <f>+MonthlyINPUT!L41+MonthlyINPUT!M41+MonthlyINPUT!N41</f>
        <v>3</v>
      </c>
      <c r="G41" s="53">
        <f t="shared" si="2"/>
        <v>10</v>
      </c>
      <c r="I41"/>
      <c r="J41"/>
      <c r="K41"/>
      <c r="L41"/>
      <c r="M41"/>
    </row>
    <row r="42" spans="1:13" ht="15.75" x14ac:dyDescent="0.25">
      <c r="A42" s="16"/>
      <c r="B42" s="189" t="s">
        <v>11</v>
      </c>
      <c r="C42" s="56">
        <f>+MonthlyINPUT!C42+MonthlyINPUT!D42+MonthlyINPUT!E42</f>
        <v>0</v>
      </c>
      <c r="D42" s="56">
        <f>+MonthlyINPUT!F42+MonthlyINPUT!G42+MonthlyINPUT!H42</f>
        <v>2</v>
      </c>
      <c r="E42" s="56">
        <f>+MonthlyINPUT!I42+MonthlyINPUT!J42+MonthlyINPUT!K42</f>
        <v>1</v>
      </c>
      <c r="F42" s="158">
        <f>+MonthlyINPUT!L42+MonthlyINPUT!M42+MonthlyINPUT!N42</f>
        <v>0</v>
      </c>
      <c r="G42" s="53">
        <f t="shared" si="2"/>
        <v>3</v>
      </c>
      <c r="I42"/>
      <c r="J42"/>
      <c r="K42"/>
      <c r="L42"/>
      <c r="M42"/>
    </row>
    <row r="43" spans="1:13" ht="15.75" x14ac:dyDescent="0.25">
      <c r="A43" s="16"/>
      <c r="B43" s="189" t="s">
        <v>12</v>
      </c>
      <c r="C43" s="56">
        <f>+MonthlyINPUT!C43+MonthlyINPUT!D43+MonthlyINPUT!E43</f>
        <v>0</v>
      </c>
      <c r="D43" s="56">
        <f>+MonthlyINPUT!F43+MonthlyINPUT!G43+MonthlyINPUT!H43</f>
        <v>3</v>
      </c>
      <c r="E43" s="56">
        <f>+MonthlyINPUT!I43+MonthlyINPUT!J43+MonthlyINPUT!K43</f>
        <v>2</v>
      </c>
      <c r="F43" s="158">
        <f>+MonthlyINPUT!L43+MonthlyINPUT!M43+MonthlyINPUT!N43</f>
        <v>0</v>
      </c>
      <c r="G43" s="53">
        <f t="shared" si="2"/>
        <v>5</v>
      </c>
      <c r="I43"/>
      <c r="J43"/>
      <c r="K43"/>
      <c r="L43"/>
      <c r="M43"/>
    </row>
    <row r="44" spans="1:13" ht="15.75" x14ac:dyDescent="0.25">
      <c r="A44" s="16"/>
      <c r="B44" s="189" t="s">
        <v>87</v>
      </c>
      <c r="C44" s="177">
        <f>+MonthlyINPUT!C44+MonthlyINPUT!D44+MonthlyINPUT!E44</f>
        <v>0</v>
      </c>
      <c r="D44" s="56">
        <f>+MonthlyINPUT!F44+MonthlyINPUT!G44+MonthlyINPUT!H44</f>
        <v>2902</v>
      </c>
      <c r="E44" s="56">
        <f>+MonthlyINPUT!I44+MonthlyINPUT!J44+MonthlyINPUT!K44</f>
        <v>2471</v>
      </c>
      <c r="F44" s="158">
        <f>+MonthlyINPUT!L44+MonthlyINPUT!M44+MonthlyINPUT!N44</f>
        <v>0</v>
      </c>
      <c r="G44" s="178">
        <f t="shared" si="2"/>
        <v>5373</v>
      </c>
      <c r="I44"/>
      <c r="J44"/>
      <c r="K44"/>
      <c r="L44"/>
      <c r="M44"/>
    </row>
    <row r="45" spans="1:13" ht="15.75" x14ac:dyDescent="0.25">
      <c r="A45" s="16"/>
      <c r="B45" s="189" t="s">
        <v>88</v>
      </c>
      <c r="C45" s="56">
        <f>+MonthlyINPUT!C45+MonthlyINPUT!D45+MonthlyINPUT!E45</f>
        <v>182.4</v>
      </c>
      <c r="D45" s="56">
        <f>+MonthlyINPUT!F45+MonthlyINPUT!G45+MonthlyINPUT!H45</f>
        <v>2354</v>
      </c>
      <c r="E45" s="56">
        <f>+MonthlyINPUT!I45+MonthlyINPUT!J45+MonthlyINPUT!K45</f>
        <v>12458.08</v>
      </c>
      <c r="F45" s="158">
        <f>+MonthlyINPUT!L45+MonthlyINPUT!M45+MonthlyINPUT!N45</f>
        <v>0</v>
      </c>
      <c r="G45" s="178">
        <f t="shared" si="2"/>
        <v>14994.48</v>
      </c>
      <c r="I45"/>
      <c r="J45"/>
      <c r="K45"/>
      <c r="L45"/>
      <c r="M45"/>
    </row>
    <row r="46" spans="1:13" ht="15.75" thickBot="1" x14ac:dyDescent="0.3">
      <c r="A46" s="18"/>
      <c r="B46" s="19"/>
      <c r="C46" s="20"/>
      <c r="D46" s="20"/>
      <c r="E46" s="20"/>
      <c r="F46" s="21"/>
      <c r="G46" s="21"/>
      <c r="I46"/>
      <c r="J46"/>
      <c r="K46"/>
      <c r="L46"/>
      <c r="M46"/>
    </row>
    <row r="47" spans="1:13" x14ac:dyDescent="0.25">
      <c r="I47"/>
      <c r="J47"/>
      <c r="K47"/>
      <c r="L47"/>
      <c r="M47"/>
    </row>
    <row r="48" spans="1:13" x14ac:dyDescent="0.25">
      <c r="I48"/>
      <c r="J48"/>
      <c r="K48"/>
      <c r="L48"/>
      <c r="M48"/>
    </row>
    <row r="49" spans="9:13" x14ac:dyDescent="0.25">
      <c r="I49"/>
      <c r="J49"/>
      <c r="K49"/>
      <c r="L49"/>
      <c r="M49"/>
    </row>
    <row r="50" spans="9:13" x14ac:dyDescent="0.25">
      <c r="I50"/>
      <c r="J50"/>
      <c r="K50"/>
      <c r="L50"/>
      <c r="M50"/>
    </row>
    <row r="51" spans="9:13" x14ac:dyDescent="0.25">
      <c r="I51"/>
      <c r="J51"/>
      <c r="K51"/>
      <c r="L51"/>
      <c r="M51"/>
    </row>
    <row r="52" spans="9:13" x14ac:dyDescent="0.25">
      <c r="I52"/>
      <c r="J52"/>
      <c r="K52"/>
      <c r="L52"/>
      <c r="M52"/>
    </row>
    <row r="53" spans="9:13" x14ac:dyDescent="0.25">
      <c r="I53"/>
      <c r="J53"/>
      <c r="K53"/>
      <c r="L53"/>
      <c r="M53"/>
    </row>
    <row r="54" spans="9:13" x14ac:dyDescent="0.25">
      <c r="I54"/>
      <c r="J54"/>
      <c r="K54"/>
      <c r="L54"/>
      <c r="M54"/>
    </row>
    <row r="55" spans="9:13" x14ac:dyDescent="0.25">
      <c r="I55"/>
      <c r="J55"/>
      <c r="K55"/>
      <c r="L55"/>
      <c r="M55"/>
    </row>
    <row r="56" spans="9:13" x14ac:dyDescent="0.25">
      <c r="I56"/>
      <c r="J56"/>
      <c r="K56"/>
      <c r="L56"/>
      <c r="M56"/>
    </row>
    <row r="57" spans="9:13" x14ac:dyDescent="0.25">
      <c r="I57"/>
      <c r="J57"/>
      <c r="K57"/>
      <c r="L57"/>
      <c r="M57"/>
    </row>
    <row r="58" spans="9:13" x14ac:dyDescent="0.25">
      <c r="I58"/>
      <c r="J58"/>
      <c r="K58"/>
      <c r="L58"/>
      <c r="M58"/>
    </row>
    <row r="59" spans="9:13" x14ac:dyDescent="0.25">
      <c r="I59"/>
      <c r="J59"/>
      <c r="K59"/>
      <c r="L59"/>
      <c r="M59"/>
    </row>
    <row r="60" spans="9:13" x14ac:dyDescent="0.25">
      <c r="I60"/>
      <c r="J60"/>
      <c r="K60"/>
      <c r="L60"/>
      <c r="M60"/>
    </row>
    <row r="61" spans="9:13" x14ac:dyDescent="0.25">
      <c r="I61"/>
      <c r="J61"/>
      <c r="K61"/>
      <c r="L61"/>
      <c r="M61"/>
    </row>
    <row r="62" spans="9:13" x14ac:dyDescent="0.25">
      <c r="I62"/>
      <c r="J62"/>
      <c r="K62"/>
    </row>
    <row r="63" spans="9:13" x14ac:dyDescent="0.25">
      <c r="I63"/>
      <c r="J63"/>
      <c r="K63"/>
    </row>
    <row r="64" spans="9:13" x14ac:dyDescent="0.25">
      <c r="I64"/>
      <c r="J64"/>
      <c r="K64"/>
    </row>
    <row r="65" spans="9:11" x14ac:dyDescent="0.25">
      <c r="I65"/>
      <c r="J65"/>
      <c r="K65"/>
    </row>
    <row r="66" spans="9:11" x14ac:dyDescent="0.25">
      <c r="I66"/>
      <c r="J66"/>
      <c r="K66"/>
    </row>
  </sheetData>
  <mergeCells count="1">
    <mergeCell ref="A2:F2"/>
  </mergeCells>
  <printOptions horizontalCentered="1"/>
  <pageMargins left="0.7" right="0.7" top="0.75" bottom="0.75" header="0.3" footer="0.3"/>
  <pageSetup scale="66" orientation="landscape" r:id="rId1"/>
  <headerFooter alignWithMargins="0">
    <oddHeader>&amp;R&amp;D</oddHeader>
    <oddFooter>&amp;R&amp;Z&amp;F</oddFooter>
  </headerFooter>
  <ignoredErrors>
    <ignoredError sqref="C10:G10 C18:G19 C25:G27 C40:F45 C34:F34 C15:G16 G12 C36:F37 D35:F35 D9:G9 D11:G11 C17 G17 C23:D23 F23:G23" unlockedFormula="1"/>
  </ignoredError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AD65"/>
  <sheetViews>
    <sheetView workbookViewId="0">
      <selection activeCell="J23" sqref="J23"/>
    </sheetView>
  </sheetViews>
  <sheetFormatPr defaultRowHeight="15" x14ac:dyDescent="0.25"/>
  <cols>
    <col min="1" max="1" width="5.5703125" style="3" customWidth="1"/>
    <col min="2" max="2" width="35.140625" style="3" customWidth="1"/>
    <col min="3" max="4" width="8.7109375" style="3" customWidth="1"/>
    <col min="5" max="5" width="9.28515625" style="3" customWidth="1"/>
    <col min="6" max="8" width="8.7109375" style="3" customWidth="1"/>
    <col min="9" max="9" width="9.5703125" style="3" customWidth="1"/>
    <col min="10" max="12" width="8.7109375" style="3" customWidth="1"/>
    <col min="13" max="13" width="9.85546875" style="3" customWidth="1"/>
    <col min="14" max="16" width="8.7109375" style="3" customWidth="1"/>
    <col min="17" max="17" width="9.85546875" style="3" customWidth="1"/>
    <col min="18" max="18" width="8.7109375" style="3" customWidth="1"/>
    <col min="19" max="19" width="11.28515625" style="3" customWidth="1"/>
    <col min="20" max="20" width="11.5703125" style="3" customWidth="1"/>
    <col min="21" max="21" width="9.28515625" style="3" customWidth="1"/>
    <col min="22" max="22" width="8.7109375" style="3" customWidth="1"/>
    <col min="23" max="23" width="19.5703125" style="3" customWidth="1"/>
    <col min="24" max="24" width="9.140625" style="3"/>
    <col min="25" max="25" width="12" style="3" customWidth="1"/>
    <col min="26" max="26" width="12.5703125" style="3" customWidth="1"/>
    <col min="27" max="27" width="11.42578125" style="3" customWidth="1"/>
    <col min="28" max="28" width="10.85546875" style="3" customWidth="1"/>
    <col min="29" max="29" width="11.140625" style="3" customWidth="1"/>
    <col min="30" max="16384" width="9.140625" style="3"/>
  </cols>
  <sheetData>
    <row r="1" spans="1:30" s="1" customFormat="1" ht="80.099999999999994" customHeight="1" x14ac:dyDescent="0.2">
      <c r="U1" s="4"/>
      <c r="V1" s="4"/>
    </row>
    <row r="2" spans="1:30" s="2" customFormat="1" ht="20.25" x14ac:dyDescent="0.2">
      <c r="A2" s="239" t="s">
        <v>154</v>
      </c>
      <c r="B2" s="239"/>
      <c r="C2" s="239"/>
      <c r="D2" s="239"/>
      <c r="E2" s="239"/>
      <c r="F2" s="239"/>
      <c r="G2" s="239"/>
      <c r="H2" s="239"/>
      <c r="I2" s="239"/>
      <c r="J2" s="239"/>
      <c r="K2" s="239"/>
      <c r="L2" s="239"/>
      <c r="M2" s="239"/>
      <c r="N2" s="239"/>
      <c r="O2" s="239"/>
      <c r="P2" s="239"/>
      <c r="Q2" s="239"/>
      <c r="R2" s="239"/>
      <c r="S2" s="239"/>
      <c r="T2" s="239"/>
      <c r="U2" s="239"/>
      <c r="V2" s="89"/>
      <c r="W2"/>
    </row>
    <row r="3" spans="1:30" ht="15.75" thickBot="1" x14ac:dyDescent="0.3">
      <c r="A3" s="7"/>
    </row>
    <row r="4" spans="1:30" s="10" customFormat="1" ht="13.5" hidden="1" customHeight="1" x14ac:dyDescent="0.2">
      <c r="A4"/>
      <c r="B4"/>
      <c r="C4"/>
      <c r="D4"/>
      <c r="E4"/>
      <c r="F4"/>
      <c r="G4"/>
      <c r="H4"/>
      <c r="I4"/>
      <c r="J4"/>
      <c r="K4"/>
      <c r="L4"/>
      <c r="M4"/>
      <c r="N4"/>
      <c r="O4"/>
      <c r="P4"/>
      <c r="Q4"/>
      <c r="R4"/>
      <c r="S4"/>
      <c r="T4"/>
      <c r="U4"/>
      <c r="V4"/>
      <c r="Y4" s="10">
        <v>2010</v>
      </c>
    </row>
    <row r="5" spans="1:30" ht="15.75" thickBot="1" x14ac:dyDescent="0.3">
      <c r="C5" s="240" t="s">
        <v>64</v>
      </c>
      <c r="D5" s="241"/>
      <c r="E5" s="241"/>
      <c r="F5" s="242"/>
      <c r="G5" s="240" t="s">
        <v>65</v>
      </c>
      <c r="H5" s="241"/>
      <c r="I5" s="241"/>
      <c r="J5" s="242"/>
      <c r="K5" s="240" t="s">
        <v>66</v>
      </c>
      <c r="L5" s="241"/>
      <c r="M5" s="241"/>
      <c r="N5" s="242"/>
      <c r="O5" s="240" t="s">
        <v>70</v>
      </c>
      <c r="P5" s="241"/>
      <c r="Q5" s="241"/>
      <c r="R5" s="242"/>
      <c r="S5" s="240" t="s">
        <v>67</v>
      </c>
      <c r="T5" s="241"/>
      <c r="U5" s="241"/>
      <c r="V5" s="242"/>
    </row>
    <row r="6" spans="1:30" ht="16.5" thickBot="1" x14ac:dyDescent="0.3">
      <c r="A6" s="133" t="s">
        <v>26</v>
      </c>
      <c r="B6" s="134"/>
      <c r="C6" s="135">
        <v>2025</v>
      </c>
      <c r="D6" s="135">
        <v>2024</v>
      </c>
      <c r="E6" s="136" t="s">
        <v>68</v>
      </c>
      <c r="F6" s="137" t="s">
        <v>69</v>
      </c>
      <c r="G6" s="135">
        <v>2025</v>
      </c>
      <c r="H6" s="135">
        <v>2024</v>
      </c>
      <c r="I6" s="136" t="s">
        <v>68</v>
      </c>
      <c r="J6" s="137" t="s">
        <v>69</v>
      </c>
      <c r="K6" s="135">
        <v>2025</v>
      </c>
      <c r="L6" s="135">
        <v>2024</v>
      </c>
      <c r="M6" s="136" t="s">
        <v>68</v>
      </c>
      <c r="N6" s="137" t="s">
        <v>69</v>
      </c>
      <c r="O6" s="135">
        <v>2025</v>
      </c>
      <c r="P6" s="135">
        <v>2024</v>
      </c>
      <c r="Q6" s="136" t="s">
        <v>53</v>
      </c>
      <c r="R6" s="137" t="s">
        <v>54</v>
      </c>
      <c r="S6" s="135">
        <v>2025</v>
      </c>
      <c r="T6" s="135">
        <v>2024</v>
      </c>
      <c r="U6" s="136" t="s">
        <v>68</v>
      </c>
      <c r="V6" s="137" t="s">
        <v>69</v>
      </c>
      <c r="W6"/>
      <c r="Y6"/>
      <c r="Z6"/>
      <c r="AA6"/>
      <c r="AB6"/>
      <c r="AC6"/>
      <c r="AD6"/>
    </row>
    <row r="7" spans="1:30" x14ac:dyDescent="0.25">
      <c r="A7" s="45"/>
      <c r="B7" s="46" t="s">
        <v>13</v>
      </c>
      <c r="C7" s="90"/>
      <c r="D7" s="46"/>
      <c r="E7" s="46"/>
      <c r="F7" s="47"/>
      <c r="G7" s="90"/>
      <c r="H7" s="46"/>
      <c r="I7" s="46"/>
      <c r="J7" s="47"/>
      <c r="K7" s="46"/>
      <c r="L7" s="46"/>
      <c r="M7" s="46"/>
      <c r="N7" s="47"/>
      <c r="O7" s="46"/>
      <c r="P7" s="46"/>
      <c r="Q7" s="46"/>
      <c r="R7" s="47"/>
      <c r="S7" s="90"/>
      <c r="T7" s="46"/>
      <c r="U7" s="46"/>
      <c r="V7" s="47"/>
      <c r="W7"/>
      <c r="Y7"/>
      <c r="Z7"/>
      <c r="AA7"/>
      <c r="AB7"/>
      <c r="AC7"/>
      <c r="AD7"/>
    </row>
    <row r="8" spans="1:30" x14ac:dyDescent="0.25">
      <c r="A8" s="68"/>
      <c r="B8" s="49"/>
      <c r="C8" s="91"/>
      <c r="D8" s="49"/>
      <c r="E8" s="49"/>
      <c r="F8" s="51"/>
      <c r="G8" s="82"/>
      <c r="H8" s="50"/>
      <c r="I8" s="49"/>
      <c r="J8" s="51"/>
      <c r="K8" s="49"/>
      <c r="L8" s="49"/>
      <c r="M8" s="49"/>
      <c r="N8" s="51"/>
      <c r="O8" s="49"/>
      <c r="P8" s="49"/>
      <c r="Q8" s="49"/>
      <c r="R8" s="51"/>
      <c r="S8" s="82"/>
      <c r="T8" s="50"/>
      <c r="U8" s="49"/>
      <c r="V8" s="51"/>
      <c r="W8"/>
      <c r="Y8"/>
      <c r="Z8"/>
      <c r="AA8"/>
      <c r="AB8"/>
      <c r="AC8"/>
      <c r="AD8"/>
    </row>
    <row r="9" spans="1:30" ht="15.75" x14ac:dyDescent="0.25">
      <c r="A9" s="14"/>
      <c r="B9" s="188" t="s">
        <v>71</v>
      </c>
      <c r="C9" s="96">
        <f>+'QBR 2025'!C9</f>
        <v>1081</v>
      </c>
      <c r="D9" s="97">
        <f>+'QBR 2024'!C9</f>
        <v>0</v>
      </c>
      <c r="E9" s="94">
        <f>+C9-D9</f>
        <v>1081</v>
      </c>
      <c r="F9" s="184" t="str">
        <f>IFERROR(+E9/D9,"--")</f>
        <v>--</v>
      </c>
      <c r="G9" s="96">
        <f>+'QBR 2025'!D9</f>
        <v>1241</v>
      </c>
      <c r="H9" s="94">
        <f>+'QBR 2024'!D9</f>
        <v>0</v>
      </c>
      <c r="I9" s="94">
        <f>+G9-H9</f>
        <v>1241</v>
      </c>
      <c r="J9" s="184" t="str">
        <f>IFERROR(+I9/H9,"--")</f>
        <v>--</v>
      </c>
      <c r="K9" s="97">
        <f>+'QBR 2025'!E9</f>
        <v>1080</v>
      </c>
      <c r="L9" s="97">
        <f>+'QBR 2024'!E9</f>
        <v>0</v>
      </c>
      <c r="M9" s="94">
        <f>+K9-L9</f>
        <v>1080</v>
      </c>
      <c r="N9" s="184" t="str">
        <f>IFERROR(+M9/L9,"--")</f>
        <v>--</v>
      </c>
      <c r="O9" s="97">
        <f>+'QBR 2025'!F9</f>
        <v>361</v>
      </c>
      <c r="P9" s="97">
        <f>+'QBR 2024'!F9</f>
        <v>0</v>
      </c>
      <c r="Q9" s="94">
        <f>+O9-P9</f>
        <v>361</v>
      </c>
      <c r="R9" s="184" t="str">
        <f>IFERROR(+Q9/P9,"--")</f>
        <v>--</v>
      </c>
      <c r="S9" s="96">
        <f t="shared" ref="S9:T12" si="0">+C9+G9+K9+O9</f>
        <v>3763</v>
      </c>
      <c r="T9" s="97">
        <f t="shared" si="0"/>
        <v>0</v>
      </c>
      <c r="U9" s="94">
        <f>+S9-T9</f>
        <v>3763</v>
      </c>
      <c r="V9" s="184" t="str">
        <f>IFERROR(+U9/T9,"--")</f>
        <v>--</v>
      </c>
      <c r="W9"/>
      <c r="Y9"/>
      <c r="Z9"/>
      <c r="AA9"/>
      <c r="AB9"/>
      <c r="AC9"/>
      <c r="AD9"/>
    </row>
    <row r="10" spans="1:30" ht="15.75" x14ac:dyDescent="0.25">
      <c r="A10" s="14"/>
      <c r="B10" s="188" t="s">
        <v>72</v>
      </c>
      <c r="C10" s="96">
        <f>+'QBR 2025'!C10</f>
        <v>1080</v>
      </c>
      <c r="D10" s="97">
        <f>+'QBR 2024'!C10</f>
        <v>0</v>
      </c>
      <c r="E10" s="94">
        <f>+C10-D10</f>
        <v>1080</v>
      </c>
      <c r="F10" s="184" t="str">
        <f>IFERROR(+E10/D10,"--")</f>
        <v>--</v>
      </c>
      <c r="G10" s="96">
        <f>+'QBR 2025'!D10</f>
        <v>1231</v>
      </c>
      <c r="H10" s="94">
        <f>+'QBR 2024'!D10</f>
        <v>0</v>
      </c>
      <c r="I10" s="94">
        <f>+G10-H10</f>
        <v>1231</v>
      </c>
      <c r="J10" s="184" t="str">
        <f>IFERROR(+I10/H10,"--")</f>
        <v>--</v>
      </c>
      <c r="K10" s="94">
        <f>+'QBR 2025'!E10</f>
        <v>1086</v>
      </c>
      <c r="L10" s="97">
        <f>+'QBR 2024'!E10</f>
        <v>0</v>
      </c>
      <c r="M10" s="94">
        <f>+K10-L10</f>
        <v>1086</v>
      </c>
      <c r="N10" s="184" t="str">
        <f>IFERROR(+M10/L10,"--")</f>
        <v>--</v>
      </c>
      <c r="O10" s="94">
        <f>+'QBR 2025'!F10</f>
        <v>354</v>
      </c>
      <c r="P10" s="97">
        <f>+'QBR 2024'!F10</f>
        <v>0</v>
      </c>
      <c r="Q10" s="94">
        <f>+O10-P10</f>
        <v>354</v>
      </c>
      <c r="R10" s="184" t="str">
        <f>IFERROR(+Q10/P10,"--")</f>
        <v>--</v>
      </c>
      <c r="S10" s="96">
        <f t="shared" si="0"/>
        <v>3751</v>
      </c>
      <c r="T10" s="97">
        <f t="shared" si="0"/>
        <v>0</v>
      </c>
      <c r="U10" s="94">
        <f>+S10-T10</f>
        <v>3751</v>
      </c>
      <c r="V10" s="184" t="str">
        <f>IFERROR(+U10/T10,"--")</f>
        <v>--</v>
      </c>
      <c r="W10"/>
      <c r="Y10"/>
      <c r="Z10"/>
      <c r="AA10"/>
      <c r="AB10"/>
      <c r="AC10"/>
      <c r="AD10"/>
    </row>
    <row r="11" spans="1:30" ht="15.75" x14ac:dyDescent="0.25">
      <c r="A11" s="14"/>
      <c r="B11" s="188" t="s">
        <v>73</v>
      </c>
      <c r="C11" s="96">
        <f>+'QBR 2025'!C11</f>
        <v>452.2</v>
      </c>
      <c r="D11" s="97">
        <f>+'QBR 2024'!C11</f>
        <v>0</v>
      </c>
      <c r="E11" s="97">
        <f>+C11-D11</f>
        <v>452.2</v>
      </c>
      <c r="F11" s="184" t="str">
        <f>IFERROR(+E11/D11,"--")</f>
        <v>--</v>
      </c>
      <c r="G11" s="96">
        <f>+'QBR 2025'!D11</f>
        <v>400.22</v>
      </c>
      <c r="H11" s="94">
        <f>+'QBR 2024'!D11</f>
        <v>0</v>
      </c>
      <c r="I11" s="97">
        <f>+G11-H11</f>
        <v>400.22</v>
      </c>
      <c r="J11" s="184" t="str">
        <f>IFERROR(+I11/H11,"--")</f>
        <v>--</v>
      </c>
      <c r="K11" s="97">
        <f>+'QBR 2025'!E11</f>
        <v>0</v>
      </c>
      <c r="L11" s="97">
        <f>+'QBR 2024'!E11</f>
        <v>0</v>
      </c>
      <c r="M11" s="97">
        <f>+K11-L11</f>
        <v>0</v>
      </c>
      <c r="N11" s="184" t="str">
        <f>IFERROR(+M11/L11,"--")</f>
        <v>--</v>
      </c>
      <c r="O11" s="94">
        <f>+'QBR 2025'!F11</f>
        <v>0</v>
      </c>
      <c r="P11" s="97">
        <f>+'QBR 2024'!F11</f>
        <v>0</v>
      </c>
      <c r="Q11" s="97">
        <f>+O11-P11</f>
        <v>0</v>
      </c>
      <c r="R11" s="184" t="str">
        <f>IFERROR(+Q11/P11,"--")</f>
        <v>--</v>
      </c>
      <c r="S11" s="96">
        <f t="shared" si="0"/>
        <v>852.42000000000007</v>
      </c>
      <c r="T11" s="97">
        <f t="shared" si="0"/>
        <v>0</v>
      </c>
      <c r="U11" s="97">
        <f>+S11-T11</f>
        <v>852.42000000000007</v>
      </c>
      <c r="V11" s="184" t="str">
        <f>IFERROR(+U11/T11,"--")</f>
        <v>--</v>
      </c>
      <c r="W11"/>
      <c r="Y11"/>
      <c r="Z11"/>
      <c r="AA11"/>
      <c r="AB11"/>
      <c r="AC11"/>
      <c r="AD11"/>
    </row>
    <row r="12" spans="1:30" ht="15.75" x14ac:dyDescent="0.25">
      <c r="A12" s="14"/>
      <c r="B12" s="188" t="s">
        <v>74</v>
      </c>
      <c r="C12" s="96">
        <f>+'QBR 2025'!C12</f>
        <v>594</v>
      </c>
      <c r="D12" s="97">
        <f>+'QBR 2024'!C12</f>
        <v>528.66666666666663</v>
      </c>
      <c r="E12" s="97">
        <f>+C12-D12</f>
        <v>65.333333333333371</v>
      </c>
      <c r="F12" s="184">
        <f>IFERROR(+E12/D12,"--")</f>
        <v>0.12358133669609088</v>
      </c>
      <c r="G12" s="96">
        <f>+'QBR 2025'!D12</f>
        <v>618</v>
      </c>
      <c r="H12" s="94">
        <f>+'QBR 2024'!D12</f>
        <v>553.33333333333337</v>
      </c>
      <c r="I12" s="97">
        <f>+G12-H12</f>
        <v>64.666666666666629</v>
      </c>
      <c r="J12" s="184">
        <f>IFERROR(+I12/H12,"--")</f>
        <v>0.116867469879518</v>
      </c>
      <c r="K12" s="97">
        <f>+'QBR 2025'!E12</f>
        <v>571.66666666666663</v>
      </c>
      <c r="L12" s="97">
        <f>+'QBR 2024'!E12</f>
        <v>561.66666666666663</v>
      </c>
      <c r="M12" s="97">
        <f>+K12-L12</f>
        <v>10</v>
      </c>
      <c r="N12" s="184">
        <f>IFERROR(+M12/L12,"--")</f>
        <v>1.7804154302670624E-2</v>
      </c>
      <c r="O12" s="94">
        <f>+'QBR 2025'!F12</f>
        <v>384.66666666666669</v>
      </c>
      <c r="P12" s="97">
        <f>+'QBR 2024'!F12</f>
        <v>586.33333333333337</v>
      </c>
      <c r="Q12" s="97">
        <f>+O12-P12</f>
        <v>-201.66666666666669</v>
      </c>
      <c r="R12" s="184">
        <f>IFERROR(+Q12/P12,"--")</f>
        <v>-0.34394542353610008</v>
      </c>
      <c r="S12" s="96">
        <f t="shared" si="0"/>
        <v>2168.333333333333</v>
      </c>
      <c r="T12" s="97">
        <f t="shared" si="0"/>
        <v>2230</v>
      </c>
      <c r="U12" s="97">
        <f>+S12-T12</f>
        <v>-61.66666666666697</v>
      </c>
      <c r="V12" s="184">
        <f>IFERROR(+U12/T12,"--")</f>
        <v>-2.7653213751868598E-2</v>
      </c>
      <c r="W12"/>
      <c r="Y12"/>
      <c r="Z12"/>
      <c r="AA12"/>
      <c r="AB12"/>
      <c r="AC12"/>
      <c r="AD12"/>
    </row>
    <row r="13" spans="1:30" x14ac:dyDescent="0.25">
      <c r="A13" s="14"/>
      <c r="B13" s="11"/>
      <c r="C13" s="98"/>
      <c r="D13" s="99"/>
      <c r="E13" s="99"/>
      <c r="F13" s="100"/>
      <c r="G13" s="101"/>
      <c r="H13" s="102"/>
      <c r="I13" s="99"/>
      <c r="J13" s="100"/>
      <c r="K13" s="99"/>
      <c r="L13" s="99"/>
      <c r="M13" s="99"/>
      <c r="N13" s="100"/>
      <c r="O13" s="99"/>
      <c r="P13" s="99"/>
      <c r="Q13" s="99"/>
      <c r="R13" s="100"/>
      <c r="S13" s="101"/>
      <c r="T13" s="102"/>
      <c r="U13" s="99"/>
      <c r="V13" s="100"/>
      <c r="W13"/>
      <c r="Y13"/>
      <c r="Z13"/>
      <c r="AA13"/>
      <c r="AB13"/>
      <c r="AC13"/>
      <c r="AD13"/>
    </row>
    <row r="14" spans="1:30" x14ac:dyDescent="0.25">
      <c r="A14" s="64" t="s">
        <v>0</v>
      </c>
      <c r="B14" s="42"/>
      <c r="C14" s="103"/>
      <c r="D14" s="104"/>
      <c r="E14" s="104"/>
      <c r="F14" s="105"/>
      <c r="G14" s="106"/>
      <c r="H14" s="107"/>
      <c r="I14" s="104"/>
      <c r="J14" s="105"/>
      <c r="K14" s="104"/>
      <c r="L14" s="104"/>
      <c r="M14" s="104"/>
      <c r="N14" s="105"/>
      <c r="O14" s="104"/>
      <c r="P14" s="104"/>
      <c r="Q14" s="104"/>
      <c r="R14" s="105"/>
      <c r="S14" s="106"/>
      <c r="T14" s="107"/>
      <c r="U14" s="104"/>
      <c r="V14" s="105"/>
      <c r="W14"/>
      <c r="Y14"/>
      <c r="Z14"/>
      <c r="AA14"/>
      <c r="AB14"/>
      <c r="AC14"/>
      <c r="AD14"/>
    </row>
    <row r="15" spans="1:30" ht="15.75" x14ac:dyDescent="0.25">
      <c r="A15" s="16"/>
      <c r="B15" s="189" t="s">
        <v>75</v>
      </c>
      <c r="C15" s="108">
        <f>+'QBR 2025'!C15</f>
        <v>32278.809999999998</v>
      </c>
      <c r="D15" s="109">
        <f>+'QBR 2024'!C15</f>
        <v>26526.25</v>
      </c>
      <c r="E15" s="109">
        <f t="shared" ref="E15:E20" si="1">+C15-D15</f>
        <v>5752.5599999999977</v>
      </c>
      <c r="F15" s="184">
        <f t="shared" ref="F15:F20" si="2">IFERROR(+E15/D15,"--")</f>
        <v>0.21686291880684219</v>
      </c>
      <c r="G15" s="108">
        <f>+'QBR 2025'!D15</f>
        <v>9352.11</v>
      </c>
      <c r="H15" s="109">
        <f>+'QBR 2024'!D15</f>
        <v>19478.25</v>
      </c>
      <c r="I15" s="109">
        <f t="shared" ref="I15:I20" si="3">+G15-H15</f>
        <v>-10126.14</v>
      </c>
      <c r="J15" s="184">
        <f t="shared" ref="J15:J20" si="4">IFERROR(+I15/H15,"--")</f>
        <v>-0.51986908474837312</v>
      </c>
      <c r="K15" s="109">
        <f>+'QBR 2025'!E15</f>
        <v>28080.25</v>
      </c>
      <c r="L15" s="109">
        <f>+'QBR 2024'!E15</f>
        <v>14203</v>
      </c>
      <c r="M15" s="109">
        <f t="shared" ref="M15:M20" si="5">+K15-L15</f>
        <v>13877.25</v>
      </c>
      <c r="N15" s="184">
        <f t="shared" ref="N15:N20" si="6">IFERROR(+M15/L15,"--")</f>
        <v>0.97706470463986483</v>
      </c>
      <c r="O15" s="109">
        <f>+'QBR 2025'!F15</f>
        <v>21264</v>
      </c>
      <c r="P15" s="109">
        <f>+'QBR 2024'!F15</f>
        <v>26548</v>
      </c>
      <c r="Q15" s="109">
        <f t="shared" ref="Q15:Q20" si="7">+O15-P15</f>
        <v>-5284</v>
      </c>
      <c r="R15" s="184">
        <f t="shared" ref="R15:R20" si="8">IFERROR(+Q15/P15,"--")</f>
        <v>-0.19903570890462557</v>
      </c>
      <c r="S15" s="174">
        <f t="shared" ref="S15:T19" si="9">+C15+G15+K15+O15</f>
        <v>90975.17</v>
      </c>
      <c r="T15" s="175">
        <f t="shared" si="9"/>
        <v>86755.5</v>
      </c>
      <c r="U15" s="109">
        <f t="shared" ref="U15:U20" si="10">+S15-T15</f>
        <v>4219.6699999999983</v>
      </c>
      <c r="V15" s="184">
        <f t="shared" ref="V15:V20" si="11">IFERROR(+U15/T15,"--")</f>
        <v>4.8638645388476794E-2</v>
      </c>
      <c r="W15"/>
      <c r="Y15"/>
      <c r="Z15"/>
      <c r="AA15"/>
      <c r="AB15"/>
      <c r="AC15"/>
      <c r="AD15"/>
    </row>
    <row r="16" spans="1:30" ht="15.75" x14ac:dyDescent="0.25">
      <c r="A16" s="16"/>
      <c r="B16" s="189" t="s">
        <v>76</v>
      </c>
      <c r="C16" s="108">
        <f>+'QBR 2025'!C16</f>
        <v>329959.56</v>
      </c>
      <c r="D16" s="109">
        <f>+'QBR 2024'!C16</f>
        <v>287788.40000000002</v>
      </c>
      <c r="E16" s="109">
        <f t="shared" si="1"/>
        <v>42171.159999999974</v>
      </c>
      <c r="F16" s="184">
        <f t="shared" si="2"/>
        <v>0.14653530163133738</v>
      </c>
      <c r="G16" s="108">
        <f>+'QBR 2025'!D16</f>
        <v>342826.86</v>
      </c>
      <c r="H16" s="109">
        <f>+'QBR 2024'!D16</f>
        <v>304595.67000000004</v>
      </c>
      <c r="I16" s="109">
        <f t="shared" si="3"/>
        <v>38231.189999999944</v>
      </c>
      <c r="J16" s="184">
        <f t="shared" si="4"/>
        <v>0.12551455508215181</v>
      </c>
      <c r="K16" s="109">
        <f>+'QBR 2025'!E16</f>
        <v>327743.71000000002</v>
      </c>
      <c r="L16" s="109">
        <f>+'QBR 2024'!E16</f>
        <v>310265.95999999996</v>
      </c>
      <c r="M16" s="109">
        <f t="shared" si="5"/>
        <v>17477.750000000058</v>
      </c>
      <c r="N16" s="184">
        <f t="shared" si="6"/>
        <v>5.6331509908467109E-2</v>
      </c>
      <c r="O16" s="109">
        <f>+'QBR 2025'!F16</f>
        <v>109227.29</v>
      </c>
      <c r="P16" s="109">
        <f>+'QBR 2024'!F16</f>
        <v>320327.52</v>
      </c>
      <c r="Q16" s="109">
        <f t="shared" si="7"/>
        <v>-211100.23000000004</v>
      </c>
      <c r="R16" s="184">
        <f t="shared" si="8"/>
        <v>-0.65901371820941279</v>
      </c>
      <c r="S16" s="174">
        <f t="shared" si="9"/>
        <v>1109757.42</v>
      </c>
      <c r="T16" s="175">
        <f t="shared" si="9"/>
        <v>1222977.55</v>
      </c>
      <c r="U16" s="109">
        <f t="shared" si="10"/>
        <v>-113220.13000000012</v>
      </c>
      <c r="V16" s="184">
        <f t="shared" si="11"/>
        <v>-9.2577439381450716E-2</v>
      </c>
      <c r="W16"/>
      <c r="Y16"/>
      <c r="Z16"/>
      <c r="AA16"/>
      <c r="AB16"/>
      <c r="AC16"/>
      <c r="AD16"/>
    </row>
    <row r="17" spans="1:30" ht="15.75" x14ac:dyDescent="0.25">
      <c r="A17" s="16"/>
      <c r="B17" s="189" t="s">
        <v>77</v>
      </c>
      <c r="C17" s="108">
        <f>+'QBR 2025'!C17</f>
        <v>106999.8</v>
      </c>
      <c r="D17" s="109">
        <f>+'QBR 2024'!C17</f>
        <v>95446.78</v>
      </c>
      <c r="E17" s="109">
        <f>+C17-D17</f>
        <v>11553.020000000004</v>
      </c>
      <c r="F17" s="184">
        <f>IFERROR(+E17/D17,"--")</f>
        <v>0.12104148510824571</v>
      </c>
      <c r="G17" s="108">
        <f>+'QBR 2025'!D17</f>
        <v>82858.099999999991</v>
      </c>
      <c r="H17" s="109">
        <f>+'QBR 2024'!D17</f>
        <v>50566.360000000008</v>
      </c>
      <c r="I17" s="109">
        <f>+G17-H17</f>
        <v>32291.739999999983</v>
      </c>
      <c r="J17" s="184">
        <f>IFERROR(+I17/H17,"--")</f>
        <v>0.63860123607868902</v>
      </c>
      <c r="K17" s="109">
        <f>+'QBR 2025'!E17</f>
        <v>57183.53</v>
      </c>
      <c r="L17" s="109">
        <f>+'QBR 2024'!E17</f>
        <v>58067.09</v>
      </c>
      <c r="M17" s="109">
        <f>+K17-L17</f>
        <v>-883.55999999999767</v>
      </c>
      <c r="N17" s="184">
        <f>IFERROR(+M17/L17,"--")</f>
        <v>-1.5216192166681639E-2</v>
      </c>
      <c r="O17" s="109">
        <f>+'QBR 2025'!F17</f>
        <v>12346.64</v>
      </c>
      <c r="P17" s="109">
        <f>+'QBR 2024'!F17</f>
        <v>82498.429999999993</v>
      </c>
      <c r="Q17" s="109">
        <f>+O17-P17</f>
        <v>-70151.789999999994</v>
      </c>
      <c r="R17" s="184">
        <f>IFERROR(+Q17/P17,"--")</f>
        <v>-0.85034090951791441</v>
      </c>
      <c r="S17" s="174">
        <f t="shared" si="9"/>
        <v>259388.07</v>
      </c>
      <c r="T17" s="175">
        <f t="shared" si="9"/>
        <v>286578.66000000003</v>
      </c>
      <c r="U17" s="109">
        <f>+S17-T17</f>
        <v>-27190.590000000026</v>
      </c>
      <c r="V17" s="184">
        <f>IFERROR(+U17/T17,"--")</f>
        <v>-9.4880023516056719E-2</v>
      </c>
      <c r="W17"/>
      <c r="Y17"/>
      <c r="Z17"/>
      <c r="AA17"/>
      <c r="AB17"/>
      <c r="AC17"/>
      <c r="AD17"/>
    </row>
    <row r="18" spans="1:30" ht="15.75" x14ac:dyDescent="0.25">
      <c r="A18" s="16"/>
      <c r="B18" s="189" t="s">
        <v>78</v>
      </c>
      <c r="C18" s="108">
        <f>+'QBR 2025'!C18</f>
        <v>46249.980000000025</v>
      </c>
      <c r="D18" s="109">
        <f>+'QBR 2024'!C18</f>
        <v>35540.039999999994</v>
      </c>
      <c r="E18" s="109">
        <f t="shared" si="1"/>
        <v>10709.940000000031</v>
      </c>
      <c r="F18" s="184">
        <f t="shared" si="2"/>
        <v>0.30134856347938926</v>
      </c>
      <c r="G18" s="108">
        <f>+'QBR 2025'!D18</f>
        <v>32107.239999999987</v>
      </c>
      <c r="H18" s="109">
        <f>+'QBR 2024'!D18</f>
        <v>65909.049999999988</v>
      </c>
      <c r="I18" s="109">
        <f t="shared" si="3"/>
        <v>-33801.81</v>
      </c>
      <c r="J18" s="184">
        <f t="shared" si="4"/>
        <v>-0.51285536659988273</v>
      </c>
      <c r="K18" s="109">
        <f>+'QBR 2025'!E18</f>
        <v>94202.059999999969</v>
      </c>
      <c r="L18" s="109">
        <f>+'QBR 2024'!E18</f>
        <v>34040.580000000016</v>
      </c>
      <c r="M18" s="109">
        <f t="shared" si="5"/>
        <v>60161.479999999952</v>
      </c>
      <c r="N18" s="184">
        <f t="shared" si="6"/>
        <v>1.7673459147875836</v>
      </c>
      <c r="O18" s="109">
        <f>+'QBR 2025'!F18</f>
        <v>38148.49000000002</v>
      </c>
      <c r="P18" s="109">
        <f>+'QBR 2024'!F18</f>
        <v>57698.770000000019</v>
      </c>
      <c r="Q18" s="109">
        <f t="shared" si="7"/>
        <v>-19550.28</v>
      </c>
      <c r="R18" s="184">
        <f t="shared" si="8"/>
        <v>-0.33883356612281323</v>
      </c>
      <c r="S18" s="174">
        <f t="shared" si="9"/>
        <v>210707.77</v>
      </c>
      <c r="T18" s="175">
        <f t="shared" si="9"/>
        <v>193188.44</v>
      </c>
      <c r="U18" s="109">
        <f t="shared" si="10"/>
        <v>17519.329999999987</v>
      </c>
      <c r="V18" s="184">
        <f t="shared" si="11"/>
        <v>9.068518799572059E-2</v>
      </c>
      <c r="W18"/>
      <c r="Y18"/>
      <c r="Z18"/>
      <c r="AA18"/>
      <c r="AB18"/>
      <c r="AC18"/>
      <c r="AD18"/>
    </row>
    <row r="19" spans="1:30" ht="15.75" x14ac:dyDescent="0.25">
      <c r="A19" s="16"/>
      <c r="B19" s="189" t="s">
        <v>79</v>
      </c>
      <c r="C19" s="108">
        <f>+'QBR 2025'!C19</f>
        <v>0</v>
      </c>
      <c r="D19" s="109">
        <f>+'QBR 2024'!C19</f>
        <v>0</v>
      </c>
      <c r="E19" s="109">
        <f t="shared" si="1"/>
        <v>0</v>
      </c>
      <c r="F19" s="184" t="str">
        <f t="shared" si="2"/>
        <v>--</v>
      </c>
      <c r="G19" s="108">
        <f>+'QBR 2025'!D19</f>
        <v>0</v>
      </c>
      <c r="H19" s="109">
        <f>+'QBR 2024'!D19</f>
        <v>0</v>
      </c>
      <c r="I19" s="109">
        <f t="shared" si="3"/>
        <v>0</v>
      </c>
      <c r="J19" s="184" t="str">
        <f t="shared" si="4"/>
        <v>--</v>
      </c>
      <c r="K19" s="109">
        <f>+'QBR 2025'!E19</f>
        <v>0</v>
      </c>
      <c r="L19" s="109">
        <f>+'QBR 2024'!E19</f>
        <v>0</v>
      </c>
      <c r="M19" s="109">
        <f t="shared" si="5"/>
        <v>0</v>
      </c>
      <c r="N19" s="184" t="str">
        <f t="shared" si="6"/>
        <v>--</v>
      </c>
      <c r="O19" s="109">
        <f>+'QBR 2025'!F19</f>
        <v>0</v>
      </c>
      <c r="P19" s="109">
        <f>+'QBR 2024'!F19</f>
        <v>0</v>
      </c>
      <c r="Q19" s="109">
        <f t="shared" si="7"/>
        <v>0</v>
      </c>
      <c r="R19" s="184" t="str">
        <f t="shared" si="8"/>
        <v>--</v>
      </c>
      <c r="S19" s="174">
        <f t="shared" si="9"/>
        <v>0</v>
      </c>
      <c r="T19" s="175">
        <f t="shared" si="9"/>
        <v>0</v>
      </c>
      <c r="U19" s="109">
        <f t="shared" si="10"/>
        <v>0</v>
      </c>
      <c r="V19" s="184" t="str">
        <f t="shared" si="11"/>
        <v>--</v>
      </c>
      <c r="W19"/>
      <c r="Y19"/>
      <c r="Z19"/>
      <c r="AA19"/>
      <c r="AB19"/>
      <c r="AC19"/>
      <c r="AD19"/>
    </row>
    <row r="20" spans="1:30" x14ac:dyDescent="0.25">
      <c r="A20" s="16"/>
      <c r="B20" s="6" t="s">
        <v>1</v>
      </c>
      <c r="C20" s="110">
        <f>SUM(C15:C19)</f>
        <v>515488.15</v>
      </c>
      <c r="D20" s="111">
        <f>SUM(D15:D19)</f>
        <v>445301.47000000003</v>
      </c>
      <c r="E20" s="111">
        <f t="shared" si="1"/>
        <v>70186.679999999993</v>
      </c>
      <c r="F20" s="187">
        <f t="shared" si="2"/>
        <v>0.15761609769669072</v>
      </c>
      <c r="G20" s="110">
        <f>SUM(G15:G19)</f>
        <v>467144.30999999994</v>
      </c>
      <c r="H20" s="111">
        <f>SUM(H15:H19)</f>
        <v>440549.33</v>
      </c>
      <c r="I20" s="111">
        <f t="shared" si="3"/>
        <v>26594.979999999923</v>
      </c>
      <c r="J20" s="184">
        <f t="shared" si="4"/>
        <v>6.0367768576563091E-2</v>
      </c>
      <c r="K20" s="110">
        <f>SUM(K15:K19)</f>
        <v>507209.54999999993</v>
      </c>
      <c r="L20" s="111">
        <f>SUM(L15:L19)</f>
        <v>416576.62999999995</v>
      </c>
      <c r="M20" s="111">
        <f t="shared" si="5"/>
        <v>90632.919999999984</v>
      </c>
      <c r="N20" s="184">
        <f t="shared" si="6"/>
        <v>0.21756602140643366</v>
      </c>
      <c r="O20" s="110">
        <f>SUM(O15:O19)</f>
        <v>180986.42</v>
      </c>
      <c r="P20" s="111">
        <f>SUM(P15:P19)</f>
        <v>487072.72000000003</v>
      </c>
      <c r="Q20" s="111">
        <f t="shared" si="7"/>
        <v>-306086.30000000005</v>
      </c>
      <c r="R20" s="184">
        <f t="shared" si="8"/>
        <v>-0.62842012584896978</v>
      </c>
      <c r="S20" s="110">
        <f>SUM(S15:S19)</f>
        <v>1670828.43</v>
      </c>
      <c r="T20" s="111">
        <f>SUM(T15:T19)</f>
        <v>1789500.15</v>
      </c>
      <c r="U20" s="111">
        <f t="shared" si="10"/>
        <v>-118671.71999999997</v>
      </c>
      <c r="V20" s="184">
        <f t="shared" si="11"/>
        <v>-6.6315568624009322E-2</v>
      </c>
      <c r="W20"/>
      <c r="Y20"/>
      <c r="Z20"/>
      <c r="AA20"/>
      <c r="AB20"/>
      <c r="AC20"/>
      <c r="AD20"/>
    </row>
    <row r="21" spans="1:30" x14ac:dyDescent="0.25">
      <c r="A21" s="16"/>
      <c r="B21" s="5"/>
      <c r="C21" s="113"/>
      <c r="D21" s="114"/>
      <c r="E21" s="114"/>
      <c r="F21" s="115"/>
      <c r="G21" s="113"/>
      <c r="H21" s="114"/>
      <c r="I21" s="114"/>
      <c r="J21" s="115"/>
      <c r="K21" s="167"/>
      <c r="L21" s="167"/>
      <c r="M21" s="114"/>
      <c r="N21" s="115"/>
      <c r="O21" s="167"/>
      <c r="P21" s="167"/>
      <c r="Q21" s="114"/>
      <c r="R21" s="115"/>
      <c r="S21" s="113"/>
      <c r="T21" s="114"/>
      <c r="U21" s="114"/>
      <c r="V21" s="115"/>
      <c r="W21"/>
      <c r="Y21"/>
      <c r="Z21"/>
      <c r="AA21"/>
      <c r="AB21"/>
      <c r="AC21"/>
      <c r="AD21"/>
    </row>
    <row r="22" spans="1:30" x14ac:dyDescent="0.25">
      <c r="A22" s="64" t="s">
        <v>2</v>
      </c>
      <c r="B22" s="43"/>
      <c r="C22" s="116"/>
      <c r="D22" s="117"/>
      <c r="E22" s="117"/>
      <c r="F22" s="118"/>
      <c r="G22" s="116"/>
      <c r="H22" s="117"/>
      <c r="I22" s="117"/>
      <c r="J22" s="118"/>
      <c r="K22" s="168"/>
      <c r="L22" s="168"/>
      <c r="M22" s="117"/>
      <c r="N22" s="118"/>
      <c r="O22" s="168"/>
      <c r="P22" s="168"/>
      <c r="Q22" s="117"/>
      <c r="R22" s="118"/>
      <c r="S22" s="116"/>
      <c r="T22" s="117"/>
      <c r="U22" s="117"/>
      <c r="V22" s="118"/>
      <c r="W22"/>
      <c r="Y22"/>
      <c r="Z22"/>
      <c r="AA22"/>
      <c r="AB22"/>
      <c r="AC22"/>
      <c r="AD22"/>
    </row>
    <row r="23" spans="1:30" ht="15.75" x14ac:dyDescent="0.25">
      <c r="A23" s="16"/>
      <c r="B23" s="189" t="s">
        <v>7</v>
      </c>
      <c r="C23" s="108">
        <f>+'QBR 2025'!C23</f>
        <v>115610.18</v>
      </c>
      <c r="D23" s="109">
        <f>+'QBR 2024'!C23</f>
        <v>113025.47</v>
      </c>
      <c r="E23" s="109">
        <f>+C23-D23</f>
        <v>2584.7099999999919</v>
      </c>
      <c r="F23" s="184">
        <f>IFERROR(+E23/D23,"--")</f>
        <v>2.2868385329430543E-2</v>
      </c>
      <c r="G23" s="108">
        <f>+'QBR 2025'!D23</f>
        <v>111520.56</v>
      </c>
      <c r="H23" s="109">
        <f>+'QBR 2024'!D23</f>
        <v>114620.04999999999</v>
      </c>
      <c r="I23" s="109">
        <f>+G23-H23</f>
        <v>-3099.4899999999907</v>
      </c>
      <c r="J23" s="184">
        <f>IFERROR(+I23/H23,"--")</f>
        <v>-2.7041429488121764E-2</v>
      </c>
      <c r="K23" s="109">
        <f>+'QBR 2025'!E23</f>
        <v>113087.03</v>
      </c>
      <c r="L23" s="109">
        <f>+'QBR 2024'!E23</f>
        <v>114209.4</v>
      </c>
      <c r="M23" s="109">
        <f>+K23-L23</f>
        <v>-1122.3699999999953</v>
      </c>
      <c r="N23" s="184">
        <f>IFERROR(+M23/L23,"--")</f>
        <v>-9.8272996793608534E-3</v>
      </c>
      <c r="O23" s="109">
        <f>+'QBR 2025'!F23</f>
        <v>37788.453333333331</v>
      </c>
      <c r="P23" s="109">
        <f>+'QBR 2024'!F23</f>
        <v>116021.63</v>
      </c>
      <c r="Q23" s="109">
        <f>+O23-P23</f>
        <v>-78233.176666666666</v>
      </c>
      <c r="R23" s="184">
        <f>IFERROR(+Q23/P23,"--")</f>
        <v>-0.6742982034183338</v>
      </c>
      <c r="S23" s="108">
        <f t="shared" ref="S23:T26" si="12">+C23+G23+K23+O23</f>
        <v>378006.22333333333</v>
      </c>
      <c r="T23" s="109">
        <f t="shared" si="12"/>
        <v>457876.55</v>
      </c>
      <c r="U23" s="109">
        <f>+S23-T23</f>
        <v>-79870.32666666666</v>
      </c>
      <c r="V23" s="184">
        <f>IFERROR(+U23/T23,"--")</f>
        <v>-0.17443637737435269</v>
      </c>
      <c r="W23"/>
      <c r="Y23"/>
      <c r="Z23"/>
      <c r="AA23"/>
      <c r="AB23"/>
      <c r="AC23"/>
      <c r="AD23"/>
    </row>
    <row r="24" spans="1:30" ht="15.75" x14ac:dyDescent="0.25">
      <c r="A24" s="16"/>
      <c r="B24" s="189" t="s">
        <v>80</v>
      </c>
      <c r="C24" s="108">
        <f>+'QBR 2025'!C25</f>
        <v>67765.399999999994</v>
      </c>
      <c r="D24" s="109">
        <f>+'QBR 2024'!C24</f>
        <v>15000</v>
      </c>
      <c r="E24" s="109">
        <f>+C24-D24</f>
        <v>52765.399999999994</v>
      </c>
      <c r="F24" s="184">
        <f>IFERROR(+E24/D24,"--")</f>
        <v>3.5176933333333329</v>
      </c>
      <c r="G24" s="108">
        <f>+'QBR 2025'!D25</f>
        <v>67765.399999999994</v>
      </c>
      <c r="H24" s="109">
        <f>+'QBR 2024'!D24</f>
        <v>15000</v>
      </c>
      <c r="I24" s="109">
        <f>+G24-H24</f>
        <v>52765.399999999994</v>
      </c>
      <c r="J24" s="184">
        <f>IFERROR(+I24/H24,"--")</f>
        <v>3.5176933333333329</v>
      </c>
      <c r="K24" s="109">
        <f>+'QBR 2025'!E25</f>
        <v>67765.399999999994</v>
      </c>
      <c r="L24" s="109">
        <f>+'QBR 2024'!E24</f>
        <v>15000</v>
      </c>
      <c r="M24" s="109">
        <f>+K24-L24</f>
        <v>52765.399999999994</v>
      </c>
      <c r="N24" s="184">
        <f>IFERROR(+M24/L24,"--")</f>
        <v>3.5176933333333329</v>
      </c>
      <c r="O24" s="109">
        <f>+'QBR 2025'!F25</f>
        <v>22588.466666666667</v>
      </c>
      <c r="P24" s="109">
        <f>+'QBR 2024'!F24</f>
        <v>15000</v>
      </c>
      <c r="Q24" s="109">
        <f>+O24-P24</f>
        <v>7588.4666666666672</v>
      </c>
      <c r="R24" s="184">
        <f>IFERROR(+Q24/P24,"--")</f>
        <v>0.50589777777777778</v>
      </c>
      <c r="S24" s="108">
        <f t="shared" si="12"/>
        <v>225884.66666666666</v>
      </c>
      <c r="T24" s="109">
        <f t="shared" si="12"/>
        <v>60000</v>
      </c>
      <c r="U24" s="109">
        <f>+S24-T24</f>
        <v>165884.66666666666</v>
      </c>
      <c r="V24" s="184">
        <f>IFERROR(+U24/T24,"--")</f>
        <v>2.7647444444444442</v>
      </c>
      <c r="W24"/>
      <c r="Y24"/>
      <c r="Z24"/>
      <c r="AA24"/>
      <c r="AB24"/>
      <c r="AC24"/>
      <c r="AD24"/>
    </row>
    <row r="25" spans="1:30" ht="15.75" x14ac:dyDescent="0.25">
      <c r="A25" s="16"/>
      <c r="B25" s="189" t="s">
        <v>81</v>
      </c>
      <c r="C25" s="108">
        <f>+'QBR 2025'!C26</f>
        <v>119202.84</v>
      </c>
      <c r="D25" s="109">
        <f>+'QBR 2024'!C26</f>
        <v>98897.94</v>
      </c>
      <c r="E25" s="109">
        <f>+C25-D25</f>
        <v>20304.899999999994</v>
      </c>
      <c r="F25" s="184">
        <f>IFERROR(+E25/D25,"--")</f>
        <v>0.20531165765434542</v>
      </c>
      <c r="G25" s="108">
        <f>+'QBR 2025'!D26</f>
        <v>62122.09</v>
      </c>
      <c r="H25" s="109">
        <f>+'QBR 2024'!D26</f>
        <v>77212.009999999995</v>
      </c>
      <c r="I25" s="109">
        <f>+G25-H25</f>
        <v>-15089.919999999998</v>
      </c>
      <c r="J25" s="184">
        <f>IFERROR(+I25/H25,"--")</f>
        <v>-0.19543488117975427</v>
      </c>
      <c r="K25" s="109">
        <f>+'QBR 2025'!E26</f>
        <v>100474.62</v>
      </c>
      <c r="L25" s="109">
        <f>+'QBR 2024'!E26</f>
        <v>61472.679999999993</v>
      </c>
      <c r="M25" s="109">
        <f>+K25-L25</f>
        <v>39001.94</v>
      </c>
      <c r="N25" s="184">
        <f>IFERROR(+M25/L25,"--")</f>
        <v>0.63445973072916306</v>
      </c>
      <c r="O25" s="109">
        <f>+'QBR 2025'!F26</f>
        <v>33684.99</v>
      </c>
      <c r="P25" s="109">
        <f>+'QBR 2024'!F26</f>
        <v>88869.55</v>
      </c>
      <c r="Q25" s="109">
        <f>+O25-P25</f>
        <v>-55184.560000000005</v>
      </c>
      <c r="R25" s="184">
        <f>IFERROR(+Q25/P25,"--")</f>
        <v>-0.62096139791413374</v>
      </c>
      <c r="S25" s="108">
        <f t="shared" si="12"/>
        <v>315484.53999999998</v>
      </c>
      <c r="T25" s="109">
        <f t="shared" si="12"/>
        <v>326452.18</v>
      </c>
      <c r="U25" s="109">
        <f>+S25-T25</f>
        <v>-10967.640000000014</v>
      </c>
      <c r="V25" s="184">
        <f>IFERROR(+U25/T25,"--")</f>
        <v>-3.3596467329456994E-2</v>
      </c>
      <c r="W25"/>
      <c r="Y25"/>
      <c r="Z25"/>
      <c r="AA25"/>
      <c r="AB25"/>
      <c r="AC25"/>
      <c r="AD25"/>
    </row>
    <row r="26" spans="1:30" ht="15.75" x14ac:dyDescent="0.25">
      <c r="A26" s="16"/>
      <c r="B26" s="189" t="s">
        <v>8</v>
      </c>
      <c r="C26" s="108">
        <f>+'QBR 2025'!C27</f>
        <v>131208.28</v>
      </c>
      <c r="D26" s="109">
        <f>+'QBR 2024'!C27</f>
        <v>127171.07</v>
      </c>
      <c r="E26" s="109">
        <f>+C26-D26</f>
        <v>4037.2099999999919</v>
      </c>
      <c r="F26" s="184">
        <f>IFERROR(+E26/D26,"--")</f>
        <v>3.1746292611991009E-2</v>
      </c>
      <c r="G26" s="108">
        <f>+'QBR 2025'!D27</f>
        <v>134026.31000000003</v>
      </c>
      <c r="H26" s="109">
        <f>+'QBR 2024'!D27</f>
        <v>150953.26</v>
      </c>
      <c r="I26" s="109">
        <f>+G26-H26</f>
        <v>-16926.949999999983</v>
      </c>
      <c r="J26" s="184">
        <f>IFERROR(+I26/H26,"--")</f>
        <v>-0.11213371609198755</v>
      </c>
      <c r="K26" s="109">
        <f>+'QBR 2025'!E27</f>
        <v>129701.69</v>
      </c>
      <c r="L26" s="109">
        <f>+'QBR 2024'!E27</f>
        <v>137468.74</v>
      </c>
      <c r="M26" s="109">
        <f>+K26-L26</f>
        <v>-7767.0499999999884</v>
      </c>
      <c r="N26" s="184">
        <f>IFERROR(+M26/L26,"--")</f>
        <v>-5.6500481491282957E-2</v>
      </c>
      <c r="O26" s="109">
        <f>+'QBR 2025'!F27</f>
        <v>43451.909999999982</v>
      </c>
      <c r="P26" s="109">
        <f>+'QBR 2024'!F27</f>
        <v>146180.13</v>
      </c>
      <c r="Q26" s="109">
        <f>+O26-P26</f>
        <v>-102728.22000000003</v>
      </c>
      <c r="R26" s="184">
        <f>IFERROR(+Q26/P26,"--")</f>
        <v>-0.70275091423164027</v>
      </c>
      <c r="S26" s="108">
        <f t="shared" si="12"/>
        <v>438388.19</v>
      </c>
      <c r="T26" s="109">
        <f t="shared" si="12"/>
        <v>561773.19999999995</v>
      </c>
      <c r="U26" s="109">
        <f>+S26-T26</f>
        <v>-123385.00999999995</v>
      </c>
      <c r="V26" s="184">
        <f>IFERROR(+U26/T26,"--")</f>
        <v>-0.21963491672440044</v>
      </c>
      <c r="W26"/>
      <c r="Y26"/>
      <c r="Z26"/>
      <c r="AA26"/>
      <c r="AB26"/>
      <c r="AC26"/>
      <c r="AD26"/>
    </row>
    <row r="27" spans="1:30" x14ac:dyDescent="0.25">
      <c r="A27" s="16"/>
      <c r="B27" s="6" t="s">
        <v>15</v>
      </c>
      <c r="C27" s="110">
        <f>SUM(C23:C26)</f>
        <v>433786.69999999995</v>
      </c>
      <c r="D27" s="111">
        <f>SUM(D23:D26)</f>
        <v>354094.48</v>
      </c>
      <c r="E27" s="111">
        <f>+C27-D27</f>
        <v>79692.219999999972</v>
      </c>
      <c r="F27" s="186">
        <f>IFERROR(+E27/D27,"--")</f>
        <v>0.22505919888951664</v>
      </c>
      <c r="G27" s="110">
        <f>SUM(G23:G26)</f>
        <v>375434.36</v>
      </c>
      <c r="H27" s="111">
        <f>SUM(H23:H26)</f>
        <v>357785.32</v>
      </c>
      <c r="I27" s="111">
        <f>+G27-H27</f>
        <v>17649.039999999979</v>
      </c>
      <c r="J27" s="184">
        <f>IFERROR(+I27/H27,"--")</f>
        <v>4.9328575023704101E-2</v>
      </c>
      <c r="K27" s="110">
        <f>SUM(K23:K26)</f>
        <v>411028.74</v>
      </c>
      <c r="L27" s="111">
        <f>SUM(L23:L26)</f>
        <v>328150.81999999995</v>
      </c>
      <c r="M27" s="111">
        <f>+K27-L27</f>
        <v>82877.920000000042</v>
      </c>
      <c r="N27" s="184">
        <f>IFERROR(+M27/L27,"--")</f>
        <v>0.25256045375720854</v>
      </c>
      <c r="O27" s="110">
        <f>SUM(O23:O26)</f>
        <v>137513.81999999998</v>
      </c>
      <c r="P27" s="111">
        <f>SUM(P23:P26)</f>
        <v>366071.31</v>
      </c>
      <c r="Q27" s="111">
        <f>+O27-P27</f>
        <v>-228557.49000000002</v>
      </c>
      <c r="R27" s="184">
        <f>IFERROR(+Q27/P27,"--")</f>
        <v>-0.62435237003413357</v>
      </c>
      <c r="S27" s="110">
        <f>SUM(S23:S26)</f>
        <v>1357763.6199999999</v>
      </c>
      <c r="T27" s="111">
        <f>SUM(T23:T26)</f>
        <v>1406101.93</v>
      </c>
      <c r="U27" s="111">
        <f>+S27-T27</f>
        <v>-48338.310000000056</v>
      </c>
      <c r="V27" s="184">
        <f>IFERROR(+U27/T27,"--")</f>
        <v>-3.4377529088520674E-2</v>
      </c>
      <c r="W27"/>
      <c r="Y27"/>
      <c r="Z27"/>
      <c r="AA27"/>
      <c r="AB27"/>
      <c r="AC27"/>
      <c r="AD27"/>
    </row>
    <row r="28" spans="1:30" x14ac:dyDescent="0.25">
      <c r="A28" s="16"/>
      <c r="B28" s="5"/>
      <c r="C28" s="113"/>
      <c r="D28" s="114"/>
      <c r="E28" s="114"/>
      <c r="F28" s="112"/>
      <c r="G28" s="119"/>
      <c r="H28" s="120"/>
      <c r="I28" s="120"/>
      <c r="J28" s="112"/>
      <c r="K28" s="166"/>
      <c r="L28" s="166"/>
      <c r="M28" s="120"/>
      <c r="N28" s="112"/>
      <c r="O28" s="166"/>
      <c r="P28" s="166"/>
      <c r="Q28" s="120"/>
      <c r="R28" s="112"/>
      <c r="S28" s="113"/>
      <c r="T28" s="114"/>
      <c r="U28" s="120"/>
      <c r="V28" s="112"/>
      <c r="W28"/>
      <c r="Y28"/>
      <c r="Z28"/>
      <c r="AA28"/>
      <c r="AB28"/>
      <c r="AC28"/>
      <c r="AD28"/>
    </row>
    <row r="29" spans="1:30" x14ac:dyDescent="0.25">
      <c r="A29" s="64" t="s">
        <v>3</v>
      </c>
      <c r="B29" s="43"/>
      <c r="C29" s="116"/>
      <c r="D29" s="117"/>
      <c r="E29" s="117"/>
      <c r="F29" s="118"/>
      <c r="G29" s="106"/>
      <c r="H29" s="107"/>
      <c r="I29" s="107"/>
      <c r="J29" s="118"/>
      <c r="K29" s="168"/>
      <c r="L29" s="168"/>
      <c r="M29" s="107"/>
      <c r="N29" s="118"/>
      <c r="O29" s="168"/>
      <c r="P29" s="168"/>
      <c r="Q29" s="107"/>
      <c r="R29" s="118"/>
      <c r="S29" s="116"/>
      <c r="T29" s="117"/>
      <c r="U29" s="107"/>
      <c r="V29" s="118"/>
      <c r="W29"/>
      <c r="Y29"/>
      <c r="Z29"/>
      <c r="AA29"/>
      <c r="AB29"/>
      <c r="AC29"/>
      <c r="AD29"/>
    </row>
    <row r="30" spans="1:30" x14ac:dyDescent="0.25">
      <c r="A30" s="16"/>
      <c r="B30" s="5" t="s">
        <v>9</v>
      </c>
      <c r="C30" s="110">
        <f>C20-C27</f>
        <v>81701.45000000007</v>
      </c>
      <c r="D30" s="111">
        <f>D20-D27</f>
        <v>91206.990000000049</v>
      </c>
      <c r="E30" s="111">
        <f>+C30-D30</f>
        <v>-9505.539999999979</v>
      </c>
      <c r="F30" s="185">
        <f>IFERROR(+E30/D30,"--")</f>
        <v>-0.10421942441034371</v>
      </c>
      <c r="G30" s="110">
        <f>G20-G27</f>
        <v>91709.949999999953</v>
      </c>
      <c r="H30" s="111">
        <f>H20-H27</f>
        <v>82764.010000000009</v>
      </c>
      <c r="I30" s="111">
        <f>+G30-H30</f>
        <v>8945.9399999999441</v>
      </c>
      <c r="J30" s="184">
        <f>IFERROR(+I30/H30,"--")</f>
        <v>0.10808973610630929</v>
      </c>
      <c r="K30" s="110">
        <f>K20-K27</f>
        <v>96180.809999999939</v>
      </c>
      <c r="L30" s="111">
        <f>L20-L27</f>
        <v>88425.81</v>
      </c>
      <c r="M30" s="111">
        <f>+K30-L30</f>
        <v>7754.9999999999418</v>
      </c>
      <c r="N30" s="184">
        <f>IFERROR(+M30/L30,"--")</f>
        <v>8.7700638535286729E-2</v>
      </c>
      <c r="O30" s="110">
        <f>O20-O27</f>
        <v>43472.600000000035</v>
      </c>
      <c r="P30" s="111">
        <f>P20-P27</f>
        <v>121001.41000000003</v>
      </c>
      <c r="Q30" s="111">
        <f>+O30-P30</f>
        <v>-77528.81</v>
      </c>
      <c r="R30" s="184">
        <f>IFERROR(+Q30/P30,"--")</f>
        <v>-0.64072650062507519</v>
      </c>
      <c r="S30" s="110">
        <f>S20-S27</f>
        <v>313064.81000000006</v>
      </c>
      <c r="T30" s="111">
        <f>T20-T27</f>
        <v>383398.22</v>
      </c>
      <c r="U30" s="111">
        <f>+S30-T30</f>
        <v>-70333.409999999916</v>
      </c>
      <c r="V30" s="184">
        <f>IFERROR(+U30/T30,"--")</f>
        <v>-0.18344740880643609</v>
      </c>
      <c r="W30"/>
      <c r="Y30"/>
      <c r="Z30"/>
      <c r="AA30"/>
      <c r="AB30"/>
      <c r="AC30"/>
      <c r="AD30"/>
    </row>
    <row r="31" spans="1:30" x14ac:dyDescent="0.25">
      <c r="A31" s="16"/>
      <c r="B31" s="5"/>
      <c r="C31" s="119"/>
      <c r="D31" s="120"/>
      <c r="E31" s="120"/>
      <c r="F31" s="115"/>
      <c r="G31" s="119"/>
      <c r="H31" s="120"/>
      <c r="I31" s="120"/>
      <c r="J31" s="115"/>
      <c r="K31" s="167"/>
      <c r="L31" s="167"/>
      <c r="M31" s="120"/>
      <c r="N31" s="115"/>
      <c r="O31" s="167"/>
      <c r="P31" s="167"/>
      <c r="Q31" s="120"/>
      <c r="R31" s="115"/>
      <c r="S31" s="119"/>
      <c r="T31" s="120"/>
      <c r="U31" s="120"/>
      <c r="V31" s="115"/>
      <c r="W31"/>
      <c r="Y31"/>
      <c r="Z31"/>
      <c r="AA31"/>
      <c r="AB31"/>
      <c r="AC31"/>
      <c r="AD31"/>
    </row>
    <row r="32" spans="1:30" x14ac:dyDescent="0.25">
      <c r="A32" s="64" t="s">
        <v>6</v>
      </c>
      <c r="B32" s="43"/>
      <c r="C32" s="106"/>
      <c r="D32" s="107"/>
      <c r="E32" s="107"/>
      <c r="F32" s="118"/>
      <c r="G32" s="106"/>
      <c r="H32" s="107"/>
      <c r="I32" s="107"/>
      <c r="J32" s="118"/>
      <c r="K32" s="168"/>
      <c r="L32" s="168"/>
      <c r="M32" s="107"/>
      <c r="N32" s="118"/>
      <c r="O32" s="168"/>
      <c r="P32" s="168"/>
      <c r="Q32" s="107"/>
      <c r="R32" s="118"/>
      <c r="S32" s="92"/>
      <c r="T32" s="66"/>
      <c r="U32" s="107"/>
      <c r="V32" s="118"/>
      <c r="W32"/>
      <c r="Y32"/>
      <c r="Z32"/>
      <c r="AA32"/>
      <c r="AB32"/>
      <c r="AC32"/>
      <c r="AD32"/>
    </row>
    <row r="33" spans="1:30" ht="15.75" x14ac:dyDescent="0.25">
      <c r="A33" s="16"/>
      <c r="B33" s="189" t="s">
        <v>82</v>
      </c>
      <c r="C33" s="96">
        <f>+'QBR 2025'!C34</f>
        <v>8.5</v>
      </c>
      <c r="D33" s="97">
        <f>+'QBR 2024'!C34</f>
        <v>8.5</v>
      </c>
      <c r="E33" s="97">
        <f>+C33-D33</f>
        <v>0</v>
      </c>
      <c r="F33" s="158">
        <f>IFERROR(+E33/D33,"--")</f>
        <v>0</v>
      </c>
      <c r="G33" s="96">
        <f>+'QBR 2025'!D34</f>
        <v>8.5</v>
      </c>
      <c r="H33" s="97">
        <f>+'QBR 2024'!D34</f>
        <v>8.5</v>
      </c>
      <c r="I33" s="97">
        <f>+G33-H33</f>
        <v>0</v>
      </c>
      <c r="J33" s="158">
        <f>IFERROR(+I33/H33,"--")</f>
        <v>0</v>
      </c>
      <c r="K33" s="97">
        <f>+'QBR 2025'!E34</f>
        <v>8.1666666666666661</v>
      </c>
      <c r="L33" s="97">
        <f>+'QBR 2024'!E34</f>
        <v>8.5</v>
      </c>
      <c r="M33" s="97">
        <f>+K33-L33</f>
        <v>-0.33333333333333393</v>
      </c>
      <c r="N33" s="158">
        <f>IFERROR(+M33/L33,"--")</f>
        <v>-3.9215686274509873E-2</v>
      </c>
      <c r="O33" s="97">
        <f>+'QBR 2025'!F34</f>
        <v>2.8333333333333335</v>
      </c>
      <c r="P33" s="97">
        <f>+'QBR 2024'!F34</f>
        <v>8.5</v>
      </c>
      <c r="Q33" s="97">
        <f>+O33-P33</f>
        <v>-5.6666666666666661</v>
      </c>
      <c r="R33" s="158">
        <f>IFERROR(+Q33/P33,"--")</f>
        <v>-0.66666666666666663</v>
      </c>
      <c r="S33" s="96"/>
      <c r="T33" s="97"/>
      <c r="U33" s="121"/>
      <c r="V33" s="95"/>
      <c r="W33"/>
      <c r="Y33"/>
      <c r="Z33"/>
      <c r="AA33"/>
      <c r="AB33"/>
      <c r="AC33"/>
      <c r="AD33"/>
    </row>
    <row r="34" spans="1:30" ht="15.75" x14ac:dyDescent="0.25">
      <c r="A34" s="16"/>
      <c r="B34" s="189" t="s">
        <v>83</v>
      </c>
      <c r="C34" s="96">
        <f>+'QBR 2025'!C35</f>
        <v>5.5</v>
      </c>
      <c r="D34" s="97">
        <f>+'QBR 2024'!C35</f>
        <v>5.5</v>
      </c>
      <c r="E34" s="97">
        <f>+C34-D34</f>
        <v>0</v>
      </c>
      <c r="F34" s="158">
        <f>IFERROR(+E34/D34,"--")</f>
        <v>0</v>
      </c>
      <c r="G34" s="96">
        <f>+'QBR 2025'!D35</f>
        <v>5.5</v>
      </c>
      <c r="H34" s="97">
        <f>+'QBR 2024'!D35</f>
        <v>5.5</v>
      </c>
      <c r="I34" s="97">
        <f>+G34-H34</f>
        <v>0</v>
      </c>
      <c r="J34" s="158">
        <f>IFERROR(+I34/H34,"--")</f>
        <v>0</v>
      </c>
      <c r="K34" s="97">
        <f>+'QBR 2025'!E35</f>
        <v>5.166666666666667</v>
      </c>
      <c r="L34" s="97">
        <f>+'QBR 2024'!E35</f>
        <v>5.5</v>
      </c>
      <c r="M34" s="97">
        <f>+K34-L34</f>
        <v>-0.33333333333333304</v>
      </c>
      <c r="N34" s="158">
        <f>IFERROR(+M34/L34,"--")</f>
        <v>-6.0606060606060552E-2</v>
      </c>
      <c r="O34" s="97">
        <f>+'QBR 2025'!F35</f>
        <v>1.8333333333333333</v>
      </c>
      <c r="P34" s="97">
        <f>+'QBR 2024'!F35</f>
        <v>5.5</v>
      </c>
      <c r="Q34" s="97">
        <f>+O34-P34</f>
        <v>-3.666666666666667</v>
      </c>
      <c r="R34" s="158">
        <f>IFERROR(+Q34/P34,"--")</f>
        <v>-0.66666666666666674</v>
      </c>
      <c r="S34" s="96"/>
      <c r="T34" s="97"/>
      <c r="U34" s="121"/>
      <c r="V34" s="95"/>
      <c r="W34"/>
      <c r="Y34"/>
      <c r="Z34"/>
      <c r="AA34"/>
      <c r="AB34"/>
      <c r="AC34"/>
      <c r="AD34"/>
    </row>
    <row r="35" spans="1:30" ht="15.75" x14ac:dyDescent="0.25">
      <c r="A35" s="16"/>
      <c r="B35" s="189" t="s">
        <v>84</v>
      </c>
      <c r="C35" s="96">
        <f>+'QBR 2025'!C36</f>
        <v>543.66666666666663</v>
      </c>
      <c r="D35" s="97">
        <f>+'QBR 2024'!C36</f>
        <v>477.33333333333331</v>
      </c>
      <c r="E35" s="97">
        <f>+C35-D35</f>
        <v>66.333333333333314</v>
      </c>
      <c r="F35" s="158">
        <f>IFERROR(+E35/D35,"--")</f>
        <v>0.13896648044692733</v>
      </c>
      <c r="G35" s="96">
        <f>+'QBR 2025'!D36</f>
        <v>566.66666666666663</v>
      </c>
      <c r="H35" s="97">
        <f>+'QBR 2024'!D36</f>
        <v>502.66666666666669</v>
      </c>
      <c r="I35" s="97">
        <f>+G35-H35</f>
        <v>63.999999999999943</v>
      </c>
      <c r="J35" s="158">
        <f>IFERROR(+I35/H35,"--")</f>
        <v>0.12732095490716169</v>
      </c>
      <c r="K35" s="97">
        <f>+'QBR 2025'!E36</f>
        <v>522.66666666666663</v>
      </c>
      <c r="L35" s="97">
        <f>+'QBR 2024'!E36</f>
        <v>512</v>
      </c>
      <c r="M35" s="97">
        <f>+K35-L35</f>
        <v>10.666666666666629</v>
      </c>
      <c r="N35" s="158">
        <f>IFERROR(+M35/L35,"--")</f>
        <v>2.0833333333333259E-2</v>
      </c>
      <c r="O35" s="97">
        <f>+'QBR 2025'!F36</f>
        <v>0</v>
      </c>
      <c r="P35" s="97">
        <f>+'QBR 2024'!F36</f>
        <v>536.66666666666663</v>
      </c>
      <c r="Q35" s="97">
        <f>+O35-P35</f>
        <v>-536.66666666666663</v>
      </c>
      <c r="R35" s="158">
        <f>IFERROR(+Q35/P35,"--")</f>
        <v>-1</v>
      </c>
      <c r="S35" s="96"/>
      <c r="T35" s="97"/>
      <c r="U35" s="121"/>
      <c r="V35" s="95"/>
      <c r="W35"/>
      <c r="Y35"/>
      <c r="Z35"/>
      <c r="AA35"/>
      <c r="AB35"/>
      <c r="AC35"/>
      <c r="AD35"/>
    </row>
    <row r="36" spans="1:30" ht="15.75" x14ac:dyDescent="0.25">
      <c r="A36" s="16"/>
      <c r="B36" s="189" t="s">
        <v>10</v>
      </c>
      <c r="C36" s="96">
        <f>+'QBR 2025'!C37</f>
        <v>36.333333333333336</v>
      </c>
      <c r="D36" s="97">
        <f>+'QBR 2024'!C37</f>
        <v>34.333333333333336</v>
      </c>
      <c r="E36" s="97">
        <f>+C36-D36</f>
        <v>2</v>
      </c>
      <c r="F36" s="158">
        <f>IFERROR(+E36/D36,"--")</f>
        <v>5.8252427184466014E-2</v>
      </c>
      <c r="G36" s="96">
        <f>+'QBR 2025'!D37</f>
        <v>37.666666666666664</v>
      </c>
      <c r="H36" s="97">
        <f>+'QBR 2024'!D37</f>
        <v>34.666666666666664</v>
      </c>
      <c r="I36" s="121">
        <f>+G36-H36</f>
        <v>3</v>
      </c>
      <c r="J36" s="158">
        <f>IFERROR(+I36/H36,"--")</f>
        <v>8.653846153846155E-2</v>
      </c>
      <c r="K36" s="97">
        <f>+'QBR 2025'!E37</f>
        <v>37.666666666666664</v>
      </c>
      <c r="L36" s="97">
        <f>+'QBR 2024'!E37</f>
        <v>35</v>
      </c>
      <c r="M36" s="121">
        <f>+K36-L36</f>
        <v>2.6666666666666643</v>
      </c>
      <c r="N36" s="158">
        <f>IFERROR(+M36/L36,"--")</f>
        <v>7.6190476190476128E-2</v>
      </c>
      <c r="O36" s="97">
        <f>+'QBR 2025'!F37</f>
        <v>0</v>
      </c>
      <c r="P36" s="97">
        <f>+'QBR 2024'!F37</f>
        <v>35</v>
      </c>
      <c r="Q36" s="121">
        <f>+O36-P36</f>
        <v>-35</v>
      </c>
      <c r="R36" s="158">
        <f>IFERROR(+Q36/P36,"--")</f>
        <v>-1</v>
      </c>
      <c r="S36" s="96"/>
      <c r="T36" s="97"/>
      <c r="U36" s="121"/>
      <c r="V36" s="95"/>
      <c r="W36"/>
      <c r="Y36"/>
      <c r="Z36"/>
      <c r="AA36"/>
      <c r="AB36"/>
      <c r="AC36"/>
      <c r="AD36"/>
    </row>
    <row r="37" spans="1:30" x14ac:dyDescent="0.25">
      <c r="A37" s="16"/>
      <c r="B37" s="5"/>
      <c r="C37" s="119"/>
      <c r="D37" s="120"/>
      <c r="E37" s="120"/>
      <c r="F37" s="122"/>
      <c r="G37" s="119"/>
      <c r="H37" s="120"/>
      <c r="I37" s="120"/>
      <c r="J37" s="115"/>
      <c r="K37" s="167"/>
      <c r="L37" s="167"/>
      <c r="M37" s="120"/>
      <c r="N37" s="115"/>
      <c r="O37" s="167"/>
      <c r="P37" s="167"/>
      <c r="Q37" s="120"/>
      <c r="R37" s="115"/>
      <c r="S37" s="119"/>
      <c r="T37" s="120"/>
      <c r="U37" s="120"/>
      <c r="V37" s="115"/>
      <c r="W37"/>
      <c r="Y37"/>
      <c r="Z37"/>
      <c r="AA37"/>
      <c r="AB37"/>
      <c r="AC37"/>
      <c r="AD37"/>
    </row>
    <row r="38" spans="1:30" x14ac:dyDescent="0.25">
      <c r="A38" s="64" t="s">
        <v>4</v>
      </c>
      <c r="B38" s="65"/>
      <c r="C38" s="123"/>
      <c r="D38" s="124"/>
      <c r="E38" s="124"/>
      <c r="F38" s="125"/>
      <c r="G38" s="123"/>
      <c r="H38" s="124"/>
      <c r="I38" s="124"/>
      <c r="J38" s="126"/>
      <c r="K38" s="169"/>
      <c r="L38" s="169"/>
      <c r="M38" s="124"/>
      <c r="N38" s="126"/>
      <c r="O38" s="169"/>
      <c r="P38" s="169"/>
      <c r="Q38" s="124"/>
      <c r="R38" s="126"/>
      <c r="S38" s="92"/>
      <c r="T38" s="66"/>
      <c r="U38" s="124"/>
      <c r="V38" s="126"/>
      <c r="W38"/>
      <c r="Y38"/>
      <c r="Z38"/>
      <c r="AA38"/>
      <c r="AB38"/>
      <c r="AC38"/>
      <c r="AD38"/>
    </row>
    <row r="39" spans="1:30" ht="15.75" x14ac:dyDescent="0.25">
      <c r="A39" s="16"/>
      <c r="B39" s="189" t="s">
        <v>85</v>
      </c>
      <c r="C39" s="96">
        <f>+'QBR 2025'!C40</f>
        <v>0</v>
      </c>
      <c r="D39" s="97">
        <f>+'QBR 2024'!C40</f>
        <v>0</v>
      </c>
      <c r="E39" s="94">
        <f t="shared" ref="E39:E44" si="13">+C39-D39</f>
        <v>0</v>
      </c>
      <c r="F39" s="127"/>
      <c r="G39" s="93">
        <f>+'QBR 2025'!D40</f>
        <v>0</v>
      </c>
      <c r="H39" s="94">
        <f>+'QBR 2024'!D40</f>
        <v>0</v>
      </c>
      <c r="I39" s="94">
        <f t="shared" ref="I39:I44" si="14">+G39-H39</f>
        <v>0</v>
      </c>
      <c r="J39" s="95"/>
      <c r="K39" s="94">
        <f>+'QBR 2025'!E40</f>
        <v>0</v>
      </c>
      <c r="L39" s="97">
        <f>+'QBR 2024'!E40</f>
        <v>0</v>
      </c>
      <c r="M39" s="94">
        <f t="shared" ref="M39:M44" si="15">+K39-L39</f>
        <v>0</v>
      </c>
      <c r="N39" s="95"/>
      <c r="O39" s="94">
        <f>+'QBR 2025'!F40</f>
        <v>0</v>
      </c>
      <c r="P39" s="97">
        <f>+'QBR 2024'!F40</f>
        <v>0</v>
      </c>
      <c r="Q39" s="94">
        <f t="shared" ref="Q39:Q44" si="16">+O39-P39</f>
        <v>0</v>
      </c>
      <c r="R39" s="95"/>
      <c r="S39" s="96"/>
      <c r="T39" s="97"/>
      <c r="U39" s="94"/>
      <c r="V39" s="95"/>
      <c r="W39"/>
      <c r="Y39"/>
      <c r="Z39"/>
      <c r="AA39"/>
      <c r="AB39"/>
      <c r="AC39"/>
      <c r="AD39"/>
    </row>
    <row r="40" spans="1:30" ht="15.75" x14ac:dyDescent="0.25">
      <c r="A40" s="16"/>
      <c r="B40" s="189" t="s">
        <v>86</v>
      </c>
      <c r="C40" s="96">
        <f>+'QBR 2025'!C41</f>
        <v>0</v>
      </c>
      <c r="D40" s="97">
        <f>+'QBR 2024'!C41</f>
        <v>12</v>
      </c>
      <c r="E40" s="94">
        <f t="shared" si="13"/>
        <v>-12</v>
      </c>
      <c r="F40" s="127"/>
      <c r="G40" s="93">
        <f>+'QBR 2025'!D41</f>
        <v>3</v>
      </c>
      <c r="H40" s="94">
        <f>+'QBR 2024'!D41</f>
        <v>4</v>
      </c>
      <c r="I40" s="94">
        <f t="shared" si="14"/>
        <v>-1</v>
      </c>
      <c r="J40" s="95"/>
      <c r="K40" s="94">
        <f>+'QBR 2025'!E41</f>
        <v>4</v>
      </c>
      <c r="L40" s="97">
        <f>+'QBR 2024'!E41</f>
        <v>0</v>
      </c>
      <c r="M40" s="94">
        <f t="shared" si="15"/>
        <v>4</v>
      </c>
      <c r="N40" s="95"/>
      <c r="O40" s="94">
        <f>+'QBR 2025'!F41</f>
        <v>3</v>
      </c>
      <c r="P40" s="97">
        <f>+'QBR 2024'!F41</f>
        <v>2</v>
      </c>
      <c r="Q40" s="94">
        <f t="shared" si="16"/>
        <v>1</v>
      </c>
      <c r="R40" s="95"/>
      <c r="S40" s="96"/>
      <c r="T40" s="97"/>
      <c r="U40" s="94"/>
      <c r="V40" s="95"/>
      <c r="W40"/>
      <c r="Y40"/>
      <c r="Z40"/>
      <c r="AA40"/>
      <c r="AB40"/>
      <c r="AC40"/>
      <c r="AD40"/>
    </row>
    <row r="41" spans="1:30" ht="15.75" x14ac:dyDescent="0.25">
      <c r="A41" s="16"/>
      <c r="B41" s="189" t="s">
        <v>11</v>
      </c>
      <c r="C41" s="96">
        <f>+'QBR 2025'!C42</f>
        <v>0</v>
      </c>
      <c r="D41" s="97">
        <f>+'QBR 2024'!C42</f>
        <v>0</v>
      </c>
      <c r="E41" s="94">
        <f t="shared" si="13"/>
        <v>0</v>
      </c>
      <c r="F41" s="127"/>
      <c r="G41" s="93">
        <f>+'QBR 2025'!D42</f>
        <v>2</v>
      </c>
      <c r="H41" s="94">
        <f>+'QBR 2024'!D42</f>
        <v>0</v>
      </c>
      <c r="I41" s="94">
        <f t="shared" si="14"/>
        <v>2</v>
      </c>
      <c r="J41" s="95"/>
      <c r="K41" s="94">
        <f>+'QBR 2025'!E42</f>
        <v>1</v>
      </c>
      <c r="L41" s="97">
        <f>+'QBR 2024'!E42</f>
        <v>0</v>
      </c>
      <c r="M41" s="94">
        <f t="shared" si="15"/>
        <v>1</v>
      </c>
      <c r="N41" s="95"/>
      <c r="O41" s="94">
        <f>+'QBR 2025'!F42</f>
        <v>0</v>
      </c>
      <c r="P41" s="97">
        <f>+'QBR 2024'!F42</f>
        <v>1</v>
      </c>
      <c r="Q41" s="94">
        <f t="shared" si="16"/>
        <v>-1</v>
      </c>
      <c r="R41" s="95"/>
      <c r="S41" s="96"/>
      <c r="T41" s="97"/>
      <c r="U41" s="94"/>
      <c r="V41" s="95"/>
      <c r="W41"/>
      <c r="Y41"/>
      <c r="Z41"/>
      <c r="AA41"/>
      <c r="AB41"/>
      <c r="AC41"/>
      <c r="AD41"/>
    </row>
    <row r="42" spans="1:30" ht="15.75" x14ac:dyDescent="0.25">
      <c r="A42" s="16"/>
      <c r="B42" s="189" t="s">
        <v>12</v>
      </c>
      <c r="C42" s="96">
        <f>+'QBR 2025'!C43</f>
        <v>0</v>
      </c>
      <c r="D42" s="97">
        <f>+'QBR 2024'!C43</f>
        <v>3</v>
      </c>
      <c r="E42" s="94">
        <f t="shared" si="13"/>
        <v>-3</v>
      </c>
      <c r="F42" s="127"/>
      <c r="G42" s="93">
        <f>+'QBR 2025'!D43</f>
        <v>3</v>
      </c>
      <c r="H42" s="94">
        <f>+'QBR 2024'!D43</f>
        <v>0</v>
      </c>
      <c r="I42" s="94">
        <f t="shared" si="14"/>
        <v>3</v>
      </c>
      <c r="J42" s="95"/>
      <c r="K42" s="94">
        <f>+'QBR 2025'!E43</f>
        <v>2</v>
      </c>
      <c r="L42" s="97">
        <f>+'QBR 2024'!E43</f>
        <v>0</v>
      </c>
      <c r="M42" s="94">
        <f t="shared" si="15"/>
        <v>2</v>
      </c>
      <c r="N42" s="95"/>
      <c r="O42" s="94">
        <f>+'QBR 2025'!F43</f>
        <v>0</v>
      </c>
      <c r="P42" s="97">
        <f>+'QBR 2024'!F43</f>
        <v>0</v>
      </c>
      <c r="Q42" s="94">
        <f t="shared" si="16"/>
        <v>0</v>
      </c>
      <c r="R42" s="95"/>
      <c r="S42" s="96"/>
      <c r="T42" s="97"/>
      <c r="U42" s="94"/>
      <c r="V42" s="95"/>
      <c r="W42"/>
      <c r="Y42"/>
      <c r="Z42"/>
      <c r="AA42"/>
      <c r="AB42"/>
      <c r="AC42"/>
      <c r="AD42"/>
    </row>
    <row r="43" spans="1:30" ht="15.75" x14ac:dyDescent="0.25">
      <c r="A43" s="16"/>
      <c r="B43" s="189" t="s">
        <v>87</v>
      </c>
      <c r="C43" s="108">
        <f>+'QBR 2025'!C44</f>
        <v>0</v>
      </c>
      <c r="D43" s="109">
        <f>+'QBR 2024'!C44</f>
        <v>9528</v>
      </c>
      <c r="E43" s="109">
        <f t="shared" si="13"/>
        <v>-9528</v>
      </c>
      <c r="F43" s="132"/>
      <c r="G43" s="108">
        <f>+'QBR 2025'!D44</f>
        <v>2902</v>
      </c>
      <c r="H43" s="109">
        <f>+'QBR 2024'!D44</f>
        <v>0</v>
      </c>
      <c r="I43" s="109">
        <f t="shared" si="14"/>
        <v>2902</v>
      </c>
      <c r="J43" s="132"/>
      <c r="K43" s="94">
        <f>+'QBR 2025'!E44</f>
        <v>2471</v>
      </c>
      <c r="L43" s="109">
        <f>+'QBR 2024'!E44</f>
        <v>100</v>
      </c>
      <c r="M43" s="109">
        <f t="shared" si="15"/>
        <v>2371</v>
      </c>
      <c r="N43" s="132"/>
      <c r="O43" s="109">
        <f>+'QBR 2025'!F44</f>
        <v>0</v>
      </c>
      <c r="P43" s="109">
        <f>+'QBR 2024'!F44</f>
        <v>0</v>
      </c>
      <c r="Q43" s="109">
        <f t="shared" si="16"/>
        <v>0</v>
      </c>
      <c r="R43" s="95"/>
      <c r="S43" s="96"/>
      <c r="T43" s="97"/>
      <c r="U43" s="109"/>
      <c r="V43" s="95"/>
      <c r="W43"/>
      <c r="Y43"/>
      <c r="Z43"/>
      <c r="AA43"/>
      <c r="AB43"/>
      <c r="AC43"/>
      <c r="AD43"/>
    </row>
    <row r="44" spans="1:30" ht="15.75" x14ac:dyDescent="0.25">
      <c r="A44" s="16"/>
      <c r="B44" s="189" t="s">
        <v>88</v>
      </c>
      <c r="C44" s="96">
        <f>+'QBR 2025'!C45</f>
        <v>182.4</v>
      </c>
      <c r="D44" s="109">
        <f>+'QBR 2024'!C45</f>
        <v>0</v>
      </c>
      <c r="E44" s="109">
        <f t="shared" si="13"/>
        <v>182.4</v>
      </c>
      <c r="F44" s="132"/>
      <c r="G44" s="108">
        <f>+'QBR 2025'!D45</f>
        <v>2354</v>
      </c>
      <c r="H44" s="109">
        <f>+'QBR 2024'!D45</f>
        <v>779.68</v>
      </c>
      <c r="I44" s="109">
        <f t="shared" si="14"/>
        <v>1574.3200000000002</v>
      </c>
      <c r="J44" s="132"/>
      <c r="K44" s="94">
        <f>+'QBR 2025'!E45</f>
        <v>12458.08</v>
      </c>
      <c r="L44" s="109">
        <f>+'QBR 2024'!E45</f>
        <v>0</v>
      </c>
      <c r="M44" s="109">
        <f t="shared" si="15"/>
        <v>12458.08</v>
      </c>
      <c r="N44" s="132"/>
      <c r="O44" s="109">
        <f>+'QBR 2025'!F45</f>
        <v>0</v>
      </c>
      <c r="P44" s="109">
        <f>+'QBR 2024'!F45</f>
        <v>0</v>
      </c>
      <c r="Q44" s="109">
        <f t="shared" si="16"/>
        <v>0</v>
      </c>
      <c r="R44" s="132"/>
      <c r="S44" s="96"/>
      <c r="T44" s="97"/>
      <c r="U44" s="109"/>
      <c r="V44" s="95"/>
      <c r="W44"/>
      <c r="Y44"/>
      <c r="Z44"/>
      <c r="AA44"/>
      <c r="AB44"/>
      <c r="AC44"/>
      <c r="AD44"/>
    </row>
    <row r="45" spans="1:30" ht="15.75" thickBot="1" x14ac:dyDescent="0.3">
      <c r="A45" s="18"/>
      <c r="B45" s="19"/>
      <c r="C45" s="128"/>
      <c r="D45" s="129"/>
      <c r="E45" s="129"/>
      <c r="F45" s="130"/>
      <c r="G45" s="128"/>
      <c r="H45" s="129"/>
      <c r="I45" s="129"/>
      <c r="J45" s="130"/>
      <c r="K45" s="129"/>
      <c r="L45" s="129"/>
      <c r="M45" s="129"/>
      <c r="N45" s="130"/>
      <c r="O45" s="129"/>
      <c r="P45" s="129"/>
      <c r="Q45" s="129"/>
      <c r="R45" s="130"/>
      <c r="S45" s="128"/>
      <c r="T45" s="129"/>
      <c r="U45" s="129"/>
      <c r="V45" s="130"/>
      <c r="W45"/>
      <c r="Y45"/>
      <c r="Z45"/>
      <c r="AA45"/>
      <c r="AB45"/>
      <c r="AC45"/>
      <c r="AD45"/>
    </row>
    <row r="46" spans="1:30" x14ac:dyDescent="0.25">
      <c r="C46" s="131"/>
      <c r="D46" s="131"/>
      <c r="E46" s="131"/>
      <c r="F46" s="131"/>
      <c r="G46" s="131"/>
      <c r="H46" s="131"/>
      <c r="I46" s="131"/>
      <c r="J46" s="131"/>
      <c r="K46" s="131"/>
      <c r="L46" s="131"/>
      <c r="M46" s="131"/>
      <c r="N46" s="131"/>
      <c r="O46" s="131"/>
      <c r="P46" s="131"/>
      <c r="Q46" s="131"/>
      <c r="R46" s="131"/>
      <c r="S46" s="131"/>
      <c r="T46" s="131"/>
      <c r="U46" s="131"/>
      <c r="V46" s="131"/>
      <c r="W46"/>
      <c r="Y46"/>
      <c r="Z46"/>
      <c r="AA46"/>
      <c r="AB46"/>
      <c r="AC46"/>
      <c r="AD46"/>
    </row>
    <row r="47" spans="1:30" x14ac:dyDescent="0.25">
      <c r="C47" s="131"/>
      <c r="D47" s="131"/>
      <c r="E47" s="131"/>
      <c r="F47" s="131"/>
      <c r="G47" s="131"/>
      <c r="H47" s="131"/>
      <c r="I47" s="131"/>
      <c r="J47" s="131"/>
      <c r="K47" s="131"/>
      <c r="L47" s="131"/>
      <c r="M47" s="131"/>
      <c r="N47" s="131"/>
      <c r="O47" s="131"/>
      <c r="P47" s="131"/>
      <c r="Q47" s="131"/>
      <c r="R47" s="131"/>
      <c r="S47" s="131"/>
      <c r="T47" s="131"/>
      <c r="U47" s="131"/>
      <c r="V47" s="131"/>
      <c r="W47"/>
      <c r="Y47"/>
      <c r="Z47"/>
      <c r="AA47"/>
      <c r="AB47"/>
      <c r="AC47"/>
      <c r="AD47"/>
    </row>
    <row r="48" spans="1:30" x14ac:dyDescent="0.25">
      <c r="C48" s="131"/>
      <c r="D48" s="131"/>
      <c r="E48" s="131"/>
      <c r="F48" s="131"/>
      <c r="G48" s="131"/>
      <c r="H48" s="131"/>
      <c r="I48" s="131"/>
      <c r="J48" s="131"/>
      <c r="K48" s="131"/>
      <c r="L48" s="131"/>
      <c r="M48" s="131"/>
      <c r="N48" s="131"/>
      <c r="O48" s="131"/>
      <c r="P48" s="131"/>
      <c r="Q48" s="131"/>
      <c r="R48" s="131"/>
      <c r="S48" s="131"/>
      <c r="T48" s="131"/>
      <c r="U48" s="131"/>
      <c r="V48" s="131"/>
      <c r="W48"/>
      <c r="Y48"/>
      <c r="Z48"/>
      <c r="AA48"/>
      <c r="AB48"/>
      <c r="AC48"/>
      <c r="AD48"/>
    </row>
    <row r="49" spans="23:30" x14ac:dyDescent="0.25">
      <c r="W49"/>
      <c r="Y49"/>
      <c r="Z49"/>
      <c r="AA49"/>
      <c r="AB49"/>
      <c r="AC49"/>
      <c r="AD49"/>
    </row>
    <row r="50" spans="23:30" x14ac:dyDescent="0.25">
      <c r="W50"/>
      <c r="Y50"/>
      <c r="Z50"/>
      <c r="AA50"/>
      <c r="AB50"/>
      <c r="AC50"/>
      <c r="AD50"/>
    </row>
    <row r="51" spans="23:30" x14ac:dyDescent="0.25">
      <c r="W51"/>
      <c r="Y51"/>
      <c r="Z51"/>
      <c r="AA51"/>
      <c r="AB51"/>
      <c r="AC51"/>
      <c r="AD51"/>
    </row>
    <row r="52" spans="23:30" x14ac:dyDescent="0.25">
      <c r="W52"/>
      <c r="Y52"/>
      <c r="Z52"/>
      <c r="AA52"/>
      <c r="AB52"/>
      <c r="AC52"/>
      <c r="AD52"/>
    </row>
    <row r="53" spans="23:30" x14ac:dyDescent="0.25">
      <c r="W53"/>
      <c r="Y53"/>
      <c r="Z53"/>
      <c r="AA53"/>
      <c r="AB53"/>
      <c r="AC53"/>
      <c r="AD53"/>
    </row>
    <row r="54" spans="23:30" x14ac:dyDescent="0.25">
      <c r="W54"/>
      <c r="Y54"/>
      <c r="Z54"/>
      <c r="AA54"/>
      <c r="AB54"/>
      <c r="AC54"/>
      <c r="AD54"/>
    </row>
    <row r="55" spans="23:30" x14ac:dyDescent="0.25">
      <c r="W55"/>
      <c r="Y55"/>
      <c r="Z55"/>
      <c r="AA55"/>
      <c r="AB55"/>
      <c r="AC55"/>
      <c r="AD55"/>
    </row>
    <row r="56" spans="23:30" x14ac:dyDescent="0.25">
      <c r="W56"/>
      <c r="Y56"/>
      <c r="Z56"/>
      <c r="AA56"/>
      <c r="AB56"/>
      <c r="AC56"/>
      <c r="AD56"/>
    </row>
    <row r="57" spans="23:30" x14ac:dyDescent="0.25">
      <c r="W57"/>
      <c r="Y57"/>
      <c r="Z57"/>
      <c r="AA57"/>
    </row>
    <row r="58" spans="23:30" x14ac:dyDescent="0.25">
      <c r="Y58"/>
      <c r="Z58"/>
      <c r="AA58"/>
    </row>
    <row r="59" spans="23:30" x14ac:dyDescent="0.25">
      <c r="Y59"/>
      <c r="Z59"/>
      <c r="AA59"/>
    </row>
    <row r="60" spans="23:30" x14ac:dyDescent="0.25">
      <c r="Y60"/>
      <c r="Z60"/>
      <c r="AA60"/>
    </row>
    <row r="61" spans="23:30" x14ac:dyDescent="0.25">
      <c r="Y61"/>
      <c r="Z61"/>
      <c r="AA61"/>
    </row>
    <row r="62" spans="23:30" x14ac:dyDescent="0.25">
      <c r="Y62"/>
      <c r="Z62"/>
      <c r="AA62"/>
    </row>
    <row r="63" spans="23:30" x14ac:dyDescent="0.25">
      <c r="Y63"/>
      <c r="Z63"/>
      <c r="AA63"/>
    </row>
    <row r="64" spans="23:30" x14ac:dyDescent="0.25">
      <c r="Y64"/>
      <c r="Z64"/>
      <c r="AA64"/>
    </row>
    <row r="65" spans="25:27" x14ac:dyDescent="0.25">
      <c r="Y65"/>
      <c r="Z65"/>
      <c r="AA65"/>
    </row>
  </sheetData>
  <mergeCells count="6">
    <mergeCell ref="A2:U2"/>
    <mergeCell ref="C5:F5"/>
    <mergeCell ref="G5:J5"/>
    <mergeCell ref="K5:N5"/>
    <mergeCell ref="S5:V5"/>
    <mergeCell ref="O5:R5"/>
  </mergeCells>
  <printOptions horizontalCentered="1"/>
  <pageMargins left="0.7" right="0.7" top="0.75" bottom="0.75" header="0.3" footer="0.3"/>
  <pageSetup scale="55" orientation="landscape" r:id="rId1"/>
  <headerFooter alignWithMargins="0">
    <oddHeader>&amp;R&amp;D</oddHeader>
    <oddFooter>&amp;R&amp;Z&amp;F</oddFooter>
  </headerFooter>
  <ignoredErrors>
    <ignoredError sqref="C9:F11 C18:F19 C23:F26 F27 C33:F36 C39:E44 G9:I11 G18:J20 G23:J27 G33:J44 K33:N44 K18:N32 K45:N46 O33:R46 O18:W32 O47:W50 S33:W46 O9:W11 K9:N11 G15:J16 C15:F16 C17 O13:W16 W12 K13:N16 C12:V12 E17:G17 I17:K17 M17:O17 Q17:V17" unlockedFormula="1"/>
  </ignoredError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J34"/>
  <sheetViews>
    <sheetView workbookViewId="0">
      <selection activeCell="F15" sqref="F15"/>
    </sheetView>
  </sheetViews>
  <sheetFormatPr defaultRowHeight="15" x14ac:dyDescent="0.25"/>
  <cols>
    <col min="1" max="1" width="49.5703125" style="3" customWidth="1"/>
    <col min="2" max="4" width="22" style="3" customWidth="1"/>
    <col min="5" max="5" width="22" style="9" customWidth="1"/>
    <col min="6" max="8" width="11.140625" style="3" bestFit="1" customWidth="1"/>
    <col min="9" max="16384" width="9.140625" style="3"/>
  </cols>
  <sheetData>
    <row r="1" spans="1:10" s="1" customFormat="1" ht="69" customHeight="1" x14ac:dyDescent="0.2">
      <c r="E1" s="8"/>
    </row>
    <row r="2" spans="1:10" s="2" customFormat="1" ht="47.1" customHeight="1" x14ac:dyDescent="0.2">
      <c r="A2" s="239" t="s">
        <v>5</v>
      </c>
      <c r="B2" s="239"/>
      <c r="C2" s="239"/>
      <c r="D2" s="239"/>
      <c r="E2" s="239"/>
    </row>
    <row r="4" spans="1:10" ht="36" x14ac:dyDescent="0.55000000000000004">
      <c r="A4" s="243" t="s">
        <v>16</v>
      </c>
      <c r="B4" s="244"/>
      <c r="C4" s="244"/>
      <c r="D4" s="244"/>
      <c r="E4" s="244"/>
    </row>
    <row r="6" spans="1:10" ht="15.75" thickBot="1" x14ac:dyDescent="0.3">
      <c r="A6" s="70" t="s">
        <v>13</v>
      </c>
      <c r="B6" s="70" t="s">
        <v>149</v>
      </c>
      <c r="C6" s="70" t="s">
        <v>150</v>
      </c>
      <c r="D6" s="70" t="s">
        <v>151</v>
      </c>
      <c r="E6" s="71" t="s">
        <v>152</v>
      </c>
    </row>
    <row r="7" spans="1:10" x14ac:dyDescent="0.25">
      <c r="A7" s="72" t="s">
        <v>26</v>
      </c>
      <c r="B7" s="73"/>
      <c r="C7" s="73"/>
      <c r="D7" s="73"/>
      <c r="E7" s="74"/>
    </row>
    <row r="8" spans="1:10" ht="15.75" x14ac:dyDescent="0.25">
      <c r="A8" s="191" t="s">
        <v>89</v>
      </c>
      <c r="B8" s="23">
        <f>IF(ISERROR('QBR 2025'!C10/'QBR 2025'!C35/3),"--",'QBR 2025'!C10/'QBR 2025'!C35/3)</f>
        <v>65.454545454545453</v>
      </c>
      <c r="C8" s="23">
        <f>IF(ISERROR('QBR 2025'!D10/'QBR 2025'!D35/3),"--",'QBR 2025'!D10/'QBR 2025'!D35/3)</f>
        <v>74.606060606060609</v>
      </c>
      <c r="D8" s="23">
        <f>IF(ISERROR('QBR 2025'!E10/'QBR 2025'!E35/3),"--",'QBR 2025'!E10/'QBR 2025'!E35/3)</f>
        <v>70.064516129032256</v>
      </c>
      <c r="E8" s="26">
        <f>IF(ISERROR('QBR 2025'!F10/'QBR 2025'!F35/3),"--",'QBR 2025'!F10/'QBR 2025'!F35/3)</f>
        <v>64.36363636363636</v>
      </c>
      <c r="F8"/>
      <c r="G8"/>
      <c r="H8"/>
      <c r="I8"/>
      <c r="J8"/>
    </row>
    <row r="9" spans="1:10" ht="15.75" x14ac:dyDescent="0.25">
      <c r="A9" s="192" t="s">
        <v>30</v>
      </c>
      <c r="B9" s="22">
        <f>IF(ISERROR('QBR 2025'!C10/'QBR 2025'!C9),"--",'QBR 2025'!C10/'QBR 2025'!C9)</f>
        <v>0.99907493061979646</v>
      </c>
      <c r="C9" s="22">
        <f>IF(ISERROR('QBR 2025'!D10/'QBR 2025'!D9),"--",'QBR 2025'!D10/'QBR 2025'!D9)</f>
        <v>0.99194198227236097</v>
      </c>
      <c r="D9" s="22">
        <f>IF(ISERROR('QBR 2025'!E10/'QBR 2025'!E9),"--",'QBR 2025'!E10/'QBR 2025'!E9)</f>
        <v>1.0055555555555555</v>
      </c>
      <c r="E9" s="27">
        <f>IF(ISERROR('QBR 2025'!F10/'QBR 2025'!F9),"--",'QBR 2025'!F10/'QBR 2025'!F9)</f>
        <v>0.98060941828254844</v>
      </c>
      <c r="F9"/>
      <c r="G9"/>
      <c r="H9"/>
      <c r="I9"/>
      <c r="J9"/>
    </row>
    <row r="10" spans="1:10" ht="15.75" x14ac:dyDescent="0.25">
      <c r="A10" s="192" t="s">
        <v>90</v>
      </c>
      <c r="B10" s="23">
        <f>IF(ISERROR('QBR 2025'!C9/3/'QBR 2025'!C12),"--",'QBR 2025'!C9/3/'QBR 2025'!C12)</f>
        <v>0.60662177328843991</v>
      </c>
      <c r="C10" s="23">
        <f>IF(ISERROR('QBR 2025'!D9/3/'QBR 2025'!D12),"--",'QBR 2025'!D9/3/'QBR 2025'!D12)</f>
        <v>0.66936353829557715</v>
      </c>
      <c r="D10" s="23">
        <f>IF(ISERROR('QBR 2025'!E9/3/'QBR 2025'!E12),"--",'QBR 2025'!E9/3/'QBR 2025'!E12)</f>
        <v>0.62973760932944611</v>
      </c>
      <c r="E10" s="26">
        <f>IF(ISERROR('QBR 2025'!F9/3/'QBR 2025'!F12),"--",'QBR 2025'!F9/3/'QBR 2025'!F12)</f>
        <v>0.31282495667244364</v>
      </c>
      <c r="F10"/>
      <c r="G10"/>
      <c r="H10"/>
      <c r="I10"/>
      <c r="J10"/>
    </row>
    <row r="11" spans="1:10" ht="15.75" x14ac:dyDescent="0.25">
      <c r="A11" s="192" t="s">
        <v>98</v>
      </c>
      <c r="B11" s="23">
        <f>IF(ISERROR('QBR 2025'!C11/'QBR 2025'!C12/3),"--",'QBR 2025'!C11/'QBR 2025'!C12/3)</f>
        <v>0.25375982042648709</v>
      </c>
      <c r="C11" s="23">
        <f>IF(ISERROR('QBR 2025'!D11/'QBR 2025'!D12/3),"--",'QBR 2025'!D11/'QBR 2025'!D12/3)</f>
        <v>0.21586839266450919</v>
      </c>
      <c r="D11" s="23">
        <f>IF(ISERROR('QBR 2025'!E11/'QBR 2025'!E12/3),"--",'QBR 2025'!E11/'QBR 2025'!E12/3)</f>
        <v>0</v>
      </c>
      <c r="E11" s="26">
        <f>IF(ISERROR('QBR 2025'!F11/'QBR 2025'!F12/3),"--",'QBR 2025'!F11/'QBR 2025'!F12/3)</f>
        <v>0</v>
      </c>
      <c r="F11"/>
      <c r="G11"/>
      <c r="H11"/>
      <c r="I11"/>
      <c r="J11"/>
    </row>
    <row r="12" spans="1:10" ht="15.75" x14ac:dyDescent="0.25">
      <c r="A12" s="192" t="s">
        <v>29</v>
      </c>
      <c r="B12" s="23">
        <f>IF(ISERROR('QBR 2025'!C11/'QBR 2025'!C10),"--",'QBR 2025'!C11/'QBR 2025'!C10)</f>
        <v>0.41870370370370369</v>
      </c>
      <c r="C12" s="23">
        <f>IF(ISERROR('QBR 2025'!D11/'QBR 2025'!D10),"--",'QBR 2025'!D11/'QBR 2025'!D10)</f>
        <v>0.32511779041429734</v>
      </c>
      <c r="D12" s="23">
        <f>IF(ISERROR('QBR 2025'!E11/'QBR 2025'!E10),"--",'QBR 2025'!E11/'QBR 2025'!E10)</f>
        <v>0</v>
      </c>
      <c r="E12" s="26">
        <f>IF(ISERROR('QBR 2025'!F11/'QBR 2025'!F10),"--",'QBR 2025'!F11/'QBR 2025'!F10)</f>
        <v>0</v>
      </c>
      <c r="F12"/>
      <c r="G12"/>
      <c r="H12"/>
      <c r="I12"/>
      <c r="J12"/>
    </row>
    <row r="13" spans="1:10" ht="15.75" x14ac:dyDescent="0.25">
      <c r="A13" s="192" t="s">
        <v>91</v>
      </c>
      <c r="B13" s="22">
        <f>IF(ISERROR('QBR 2025'!C11/3/('QBR 2025'!C35*167)),"--",'QBR 2025'!C11/3/('QBR 2025'!C35*167))</f>
        <v>0.16410814734168025</v>
      </c>
      <c r="C13" s="22">
        <f>IF(ISERROR('QBR 2025'!D11/3/('QBR 2025'!D35*167)),"--",'QBR 2025'!D11/3/('QBR 2025'!D35*167))</f>
        <v>0.14524405733986573</v>
      </c>
      <c r="D13" s="22">
        <f>IF(ISERROR('QBR 2025'!E11/3/('QBR 2025'!E35*167)),"--",'QBR 2025'!E11/3/('QBR 2025'!E35*167))</f>
        <v>0</v>
      </c>
      <c r="E13" s="193">
        <f>IF(ISERROR('QBR 2025'!F11/3/('QBR 2025'!F35*167)),"--",'QBR 2025'!F11/3/('QBR 2025'!F35*167))</f>
        <v>0</v>
      </c>
      <c r="F13"/>
      <c r="G13"/>
      <c r="H13"/>
      <c r="I13"/>
      <c r="J13"/>
    </row>
    <row r="14" spans="1:10" x14ac:dyDescent="0.25">
      <c r="A14" s="48" t="s">
        <v>3</v>
      </c>
      <c r="B14" s="49"/>
      <c r="C14" s="49"/>
      <c r="D14" s="49"/>
      <c r="E14" s="51"/>
      <c r="G14"/>
    </row>
    <row r="15" spans="1:10" ht="15.75" x14ac:dyDescent="0.25">
      <c r="A15" s="196" t="s">
        <v>17</v>
      </c>
      <c r="B15" s="22">
        <f>IF(ISERROR('QBR 2025'!C31/'QBR 2025'!C20),"--",'QBR 2025'!C31/'QBR 2025'!C20)</f>
        <v>0.1047578882269167</v>
      </c>
      <c r="C15" s="22">
        <f>IF(ISERROR('QBR 2025'!D31/'QBR 2025'!D20),"--",'QBR 2025'!D31/'QBR 2025'!D20)</f>
        <v>0.10855307217591917</v>
      </c>
      <c r="D15" s="22">
        <f>IF(ISERROR('QBR 2025'!E31/'QBR 2025'!E20),"--",'QBR 2025'!E31/'QBR 2025'!E20)</f>
        <v>0.11865078250202495</v>
      </c>
      <c r="E15" s="27">
        <f>IF(ISERROR('QBR 2025'!F31/'QBR 2025'!F20),"--",'QBR 2025'!F31/'QBR 2025'!F20)</f>
        <v>0.17389481487064076</v>
      </c>
      <c r="F15" s="27">
        <f>IF(ISERROR('QBR 2025'!G31/'QBR 2025'!G20),"--",'QBR 2025'!G31/'QBR 2025'!G20)</f>
        <v>0.1175254182142448</v>
      </c>
      <c r="G15" s="218"/>
      <c r="H15" s="31"/>
    </row>
    <row r="16" spans="1:10" x14ac:dyDescent="0.25">
      <c r="A16" s="16"/>
      <c r="B16" s="13"/>
      <c r="C16" s="13"/>
      <c r="D16" s="13"/>
      <c r="E16" s="17"/>
      <c r="F16" s="214"/>
    </row>
    <row r="17" spans="1:8" x14ac:dyDescent="0.25">
      <c r="A17" s="48" t="s">
        <v>0</v>
      </c>
      <c r="B17" s="75"/>
      <c r="C17" s="75"/>
      <c r="D17" s="75"/>
      <c r="E17" s="76"/>
    </row>
    <row r="18" spans="1:8" ht="15.75" x14ac:dyDescent="0.25">
      <c r="A18" s="196" t="s">
        <v>18</v>
      </c>
      <c r="B18" s="22">
        <f>IF(ISERROR(SUM('QBR 2025'!C15:C16)/'QBR 2025'!C20),"--",SUM('QBR 2025'!C15:C16)/'QBR 2025'!C20)</f>
        <v>0.70270940272826832</v>
      </c>
      <c r="C18" s="22">
        <f>IF(ISERROR(SUM('QBR 2025'!D15:D16)/'QBR 2025'!D20),"--",SUM('QBR 2025'!D15:D16)/'QBR 2025'!D20)</f>
        <v>0.75389759108914334</v>
      </c>
      <c r="D18" s="22">
        <f>IF(ISERROR(SUM('QBR 2025'!E15:E16)/'QBR 2025'!E20),"--",SUM('QBR 2025'!E15:E16)/'QBR 2025'!E20)</f>
        <v>0.70153245340116344</v>
      </c>
      <c r="E18" s="27">
        <f>IF(ISERROR(SUM('QBR 2025'!F15:F16)/'QBR 2025'!F20),"--",SUM('QBR 2025'!F15:F16)/'QBR 2025'!F20)</f>
        <v>0.72100044854194023</v>
      </c>
      <c r="F18" s="31"/>
      <c r="G18" s="31"/>
      <c r="H18" s="31"/>
    </row>
    <row r="19" spans="1:8" ht="15.75" x14ac:dyDescent="0.25">
      <c r="A19" s="196" t="s">
        <v>19</v>
      </c>
      <c r="B19" s="22">
        <f>IF(ISERROR('QBR 2025'!C16/('QBR 2025'!C15+'QBR 2025'!C16)),"--",'QBR 2025'!C16/('QBR 2025'!C15+'QBR 2025'!C16))</f>
        <v>0.91089069332991979</v>
      </c>
      <c r="C19" s="22">
        <f>IF(ISERROR('QBR 2025'!D16/('QBR 2025'!D15+'QBR 2025'!D16)),"--",'QBR 2025'!D16/('QBR 2025'!D15+'QBR 2025'!D16))</f>
        <v>0.97344500723595173</v>
      </c>
      <c r="D19" s="22">
        <f>IF(ISERROR('QBR 2025'!E16/('QBR 2025'!E15+'QBR 2025'!E16)),"--",'QBR 2025'!E16/('QBR 2025'!E15+'QBR 2025'!E16))</f>
        <v>0.92108386967533051</v>
      </c>
      <c r="E19" s="27">
        <f>IF(ISERROR('QBR 2025'!F16/('QBR 2025'!F15+'QBR 2025'!F16)),"--",'QBR 2025'!F16/('QBR 2025'!F15+'QBR 2025'!F16))</f>
        <v>0.83704659521719804</v>
      </c>
      <c r="F19" s="31"/>
      <c r="G19" s="31"/>
      <c r="H19" s="31"/>
    </row>
    <row r="20" spans="1:8" x14ac:dyDescent="0.25">
      <c r="A20" s="16"/>
      <c r="B20" s="13"/>
      <c r="C20" s="13"/>
      <c r="D20" s="13"/>
      <c r="E20" s="17"/>
    </row>
    <row r="21" spans="1:8" x14ac:dyDescent="0.25">
      <c r="A21" s="48" t="s">
        <v>20</v>
      </c>
      <c r="B21" s="75"/>
      <c r="C21" s="75"/>
      <c r="D21" s="75"/>
      <c r="E21" s="76"/>
    </row>
    <row r="22" spans="1:8" ht="15.75" x14ac:dyDescent="0.25">
      <c r="A22" s="196" t="s">
        <v>92</v>
      </c>
      <c r="B22" s="24">
        <f>IF(ISERROR(SUM('QBR 2025'!C$15:C$17)/'QBR 2025'!C$34*4),"--",SUM('QBR 2025'!C$15:C$17)/'QBR 2025'!C$34*4)</f>
        <v>220817.96235294116</v>
      </c>
      <c r="C22" s="24">
        <f>IF(ISERROR(SUM('QBR 2025'!D$15:D$17)/'QBR 2025'!D$34*4),"--",SUM('QBR 2025'!D$15:D$17)/'QBR 2025'!D$34*4)</f>
        <v>204723.32705882352</v>
      </c>
      <c r="D22" s="24">
        <f>IF(ISERROR(SUM('QBR 2025'!E$15:E$17)/'QBR 2025'!E$34*4),"--",SUM('QBR 2025'!E$15:E$17)/'QBR 2025'!E$34*4)</f>
        <v>202289.38285714286</v>
      </c>
      <c r="E22" s="194">
        <f>IF(ISERROR(SUM('QBR 2025'!F$15:F$17)/'QBR 2025'!F$34*4),"--",SUM('QBR 2025'!F$15:F$17)/'QBR 2025'!F$34*4)</f>
        <v>201653.54823529409</v>
      </c>
      <c r="F22" s="32"/>
      <c r="G22" s="32"/>
      <c r="H22" s="32"/>
    </row>
    <row r="23" spans="1:8" ht="15.75" x14ac:dyDescent="0.25">
      <c r="A23" s="196" t="s">
        <v>93</v>
      </c>
      <c r="B23" s="24">
        <f>IF(ISERROR(SUM('QBR 2025'!C$15:C$17)/'QBR 2025'!C$35*4),"--",SUM('QBR 2025'!C$15:C$17)/'QBR 2025'!C$35*4)</f>
        <v>341264.1236363636</v>
      </c>
      <c r="C23" s="24">
        <f>IF(ISERROR(SUM('QBR 2025'!D$15:D$16)/'QBR 2025'!D$35*4),"--",SUM('QBR 2025'!D$15:D$16)/'QBR 2025'!D$35*4)</f>
        <v>256130.15999999997</v>
      </c>
      <c r="D23" s="24">
        <f>IF(ISERROR(SUM('QBR 2025'!E$15:E$16)/'QBR 2025'!E$35*4),"--",SUM('QBR 2025'!E$15:E$16)/'QBR 2025'!E$35*4)</f>
        <v>275476.61419354839</v>
      </c>
      <c r="E23" s="28">
        <f>IF(ISERROR(SUM('QBR 2025'!F$15:F$16)/'QBR 2025'!F$35*4),"--",SUM('QBR 2025'!F$15:F$16)/'QBR 2025'!F$35*4)</f>
        <v>284708.2690909091</v>
      </c>
      <c r="F23" s="32"/>
      <c r="G23" s="32"/>
      <c r="H23" s="32"/>
    </row>
    <row r="24" spans="1:8" ht="15.75" x14ac:dyDescent="0.25">
      <c r="A24" s="196" t="s">
        <v>21</v>
      </c>
      <c r="B24" s="24">
        <f>IF(ISERROR('QBR 2025'!C16/'QBR 2025'!C36/3),"--",'QBR 2025'!C16/'QBR 2025'!C36/3)</f>
        <v>202.30506437768244</v>
      </c>
      <c r="C24" s="24">
        <f>IF(ISERROR('QBR 2025'!D16/'QBR 2025'!D36/3),"--",'QBR 2025'!D16/'QBR 2025'!D36/3)</f>
        <v>201.6628588235294</v>
      </c>
      <c r="D24" s="24">
        <f>IF(ISERROR('QBR 2025'!E16/'QBR 2025'!E36/3),"--",'QBR 2025'!E16/'QBR 2025'!E36/3)</f>
        <v>209.02022321428572</v>
      </c>
      <c r="E24" s="194" t="str">
        <f>IF(ISERROR('QBR 2025'!F16/'QBR 2025'!F36/3),"--",'QBR 2025'!F16/'QBR 2025'!F36/3)</f>
        <v>--</v>
      </c>
      <c r="F24" s="32"/>
      <c r="G24" s="32"/>
      <c r="H24" s="32"/>
    </row>
    <row r="25" spans="1:8" ht="15.75" x14ac:dyDescent="0.25">
      <c r="A25" s="196" t="s">
        <v>22</v>
      </c>
      <c r="B25" s="24">
        <f>IF(ISERROR('QBR 2025'!C16/'QBR 2025'!C37/3),"--",'QBR 2025'!C16/'QBR 2025'!C37/3)</f>
        <v>3027.1519266055043</v>
      </c>
      <c r="C25" s="24">
        <f>IF(ISERROR('QBR 2025'!D16/'QBR 2025'!D37/3),"--",'QBR 2025'!D16/'QBR 2025'!D37/3)</f>
        <v>3033.8660176991148</v>
      </c>
      <c r="D25" s="24">
        <f>IF(ISERROR('QBR 2025'!E16/'QBR 2025'!E37/3),"--",'QBR 2025'!E16/'QBR 2025'!E37/3)</f>
        <v>2900.3868141592925</v>
      </c>
      <c r="E25" s="28" t="str">
        <f>IF(ISERROR('QBR 2025'!F16/'QBR 2025'!F37/3),"--",'QBR 2025'!F16/'QBR 2025'!F37/3)</f>
        <v>--</v>
      </c>
      <c r="F25" s="32"/>
      <c r="G25" s="32"/>
      <c r="H25" s="32"/>
    </row>
    <row r="26" spans="1:8" x14ac:dyDescent="0.25">
      <c r="A26" s="16"/>
      <c r="B26" s="13"/>
      <c r="C26" s="13"/>
      <c r="D26" s="13"/>
      <c r="E26" s="17"/>
    </row>
    <row r="27" spans="1:8" x14ac:dyDescent="0.25">
      <c r="A27" s="48" t="s">
        <v>4</v>
      </c>
      <c r="B27" s="75"/>
      <c r="C27" s="75"/>
      <c r="D27" s="75"/>
      <c r="E27" s="76"/>
    </row>
    <row r="28" spans="1:8" ht="15.75" x14ac:dyDescent="0.25">
      <c r="A28" s="196" t="s">
        <v>23</v>
      </c>
      <c r="B28" s="24">
        <f>+'QBR 2025'!C44</f>
        <v>0</v>
      </c>
      <c r="C28" s="24">
        <f>+'QBR 2025'!D44</f>
        <v>2902</v>
      </c>
      <c r="D28" s="24">
        <f>+'QBR 2025'!E44</f>
        <v>2471</v>
      </c>
      <c r="E28" s="28">
        <f>+'QBR 2025'!F44</f>
        <v>0</v>
      </c>
    </row>
    <row r="29" spans="1:8" ht="15.75" x14ac:dyDescent="0.25">
      <c r="A29" s="196" t="s">
        <v>24</v>
      </c>
      <c r="B29" s="24">
        <f>+'QBR 2025'!C45</f>
        <v>182.4</v>
      </c>
      <c r="C29" s="24">
        <f>+'QBR 2025'!D45</f>
        <v>2354</v>
      </c>
      <c r="D29" s="24">
        <f>+'QBR 2025'!E45</f>
        <v>12458.08</v>
      </c>
      <c r="E29" s="28">
        <f>+'QBR 2025'!F45</f>
        <v>0</v>
      </c>
    </row>
    <row r="30" spans="1:8" ht="15.75" x14ac:dyDescent="0.25">
      <c r="A30" s="196" t="s">
        <v>25</v>
      </c>
      <c r="B30" s="24">
        <f>B28-B29</f>
        <v>-182.4</v>
      </c>
      <c r="C30" s="24">
        <f>C28-C29</f>
        <v>548</v>
      </c>
      <c r="D30" s="24">
        <f>D28-D29</f>
        <v>-9987.08</v>
      </c>
      <c r="E30" s="28">
        <f>E28-E29</f>
        <v>0</v>
      </c>
    </row>
    <row r="31" spans="1:8" ht="15.75" x14ac:dyDescent="0.25">
      <c r="A31" s="196" t="s">
        <v>31</v>
      </c>
      <c r="B31" s="138" t="str">
        <f>IF(ISERROR('QBR 2025'!C40/'QBR 2025'!C41),"--",'QBR 2025'!C40/'QBR 2025'!C41)</f>
        <v>--</v>
      </c>
      <c r="C31" s="138">
        <f>IF(ISERROR('QBR 2025'!D40/'QBR 2025'!D41),"--",'QBR 2025'!D40/'QBR 2025'!D41)</f>
        <v>0</v>
      </c>
      <c r="D31" s="138">
        <f>IF(ISERROR('QBR 2025'!E40/'QBR 2025'!E41),"--",'QBR 2025'!E40/'QBR 2025'!E41)</f>
        <v>0</v>
      </c>
      <c r="E31" s="17">
        <f>IF(ISERROR('QBR 2025'!F40/'QBR 2025'!F41),"--",'QBR 2025'!F40/'QBR 2025'!F41)</f>
        <v>0</v>
      </c>
    </row>
    <row r="32" spans="1:8" ht="15.75" x14ac:dyDescent="0.25">
      <c r="A32" s="196" t="s">
        <v>32</v>
      </c>
      <c r="B32" s="138">
        <f>'QBR 2025'!C41</f>
        <v>0</v>
      </c>
      <c r="C32" s="13">
        <f>'QBR 2025'!D41</f>
        <v>3</v>
      </c>
      <c r="D32" s="13">
        <f>'QBR 2025'!E41</f>
        <v>4</v>
      </c>
      <c r="E32" s="17">
        <f>'QBR 2025'!F41</f>
        <v>3</v>
      </c>
    </row>
    <row r="33" spans="1:8" ht="15.75" x14ac:dyDescent="0.25">
      <c r="A33" s="196" t="s">
        <v>33</v>
      </c>
      <c r="B33" s="25" t="str">
        <f>IF(ISERROR('QBR 2025'!C43/'QBR 2025'!C41),"--",'QBR 2025'!C43/'QBR 2025'!C41)</f>
        <v>--</v>
      </c>
      <c r="C33" s="25">
        <f>IF(ISERROR('QBR 2025'!D43/'QBR 2025'!D41),"--",'QBR 2025'!D43/'QBR 2025'!D41)</f>
        <v>1</v>
      </c>
      <c r="D33" s="25">
        <f>IF(ISERROR('QBR 2025'!E43/'QBR 2025'!E41),"--",'QBR 2025'!E43/'QBR 2025'!E41)</f>
        <v>0.5</v>
      </c>
      <c r="E33" s="29">
        <f>IF(ISERROR('QBR 2025'!F43/'QBR 2025'!F41),"--",'QBR 2025'!F43/'QBR 2025'!F41)</f>
        <v>0</v>
      </c>
      <c r="F33" s="32"/>
      <c r="G33" s="32"/>
      <c r="H33" s="32"/>
    </row>
    <row r="34" spans="1:8" ht="15.75" thickBot="1" x14ac:dyDescent="0.3">
      <c r="A34" s="18"/>
      <c r="B34" s="19"/>
      <c r="C34" s="19"/>
      <c r="D34" s="19"/>
      <c r="E34" s="21"/>
    </row>
  </sheetData>
  <mergeCells count="2">
    <mergeCell ref="A2:E2"/>
    <mergeCell ref="A4:E4"/>
  </mergeCells>
  <conditionalFormatting sqref="B15:F15">
    <cfRule type="cellIs" dxfId="2" priority="1" stopIfTrue="1" operator="lessThan">
      <formula>0.05</formula>
    </cfRule>
  </conditionalFormatting>
  <printOptions horizontalCentered="1"/>
  <pageMargins left="0.7" right="0.7" top="0.75" bottom="0.75" header="0.3" footer="0.3"/>
  <pageSetup scale="82"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L34"/>
  <sheetViews>
    <sheetView workbookViewId="0">
      <selection activeCell="J16" sqref="J16"/>
    </sheetView>
  </sheetViews>
  <sheetFormatPr defaultRowHeight="15" x14ac:dyDescent="0.25"/>
  <cols>
    <col min="1" max="1" width="48.28515625" style="3" customWidth="1"/>
    <col min="2" max="4" width="11.140625" style="3" customWidth="1"/>
    <col min="5" max="5" width="11.140625" style="9" customWidth="1"/>
    <col min="6" max="8" width="11.140625" style="3" bestFit="1" customWidth="1"/>
    <col min="9" max="16384" width="9.140625" style="3"/>
  </cols>
  <sheetData>
    <row r="1" spans="1:12" s="1" customFormat="1" ht="69" customHeight="1" x14ac:dyDescent="0.2">
      <c r="E1" s="8"/>
    </row>
    <row r="2" spans="1:12" s="2" customFormat="1" ht="47.1" customHeight="1" x14ac:dyDescent="0.2">
      <c r="A2" s="239" t="s">
        <v>5</v>
      </c>
      <c r="B2" s="239"/>
      <c r="C2" s="239"/>
      <c r="D2" s="239"/>
      <c r="E2" s="239"/>
      <c r="F2" s="239"/>
      <c r="G2" s="239"/>
      <c r="H2" s="239"/>
      <c r="I2" s="239"/>
    </row>
    <row r="4" spans="1:12" ht="36" x14ac:dyDescent="0.55000000000000004">
      <c r="A4" s="243" t="s">
        <v>16</v>
      </c>
      <c r="B4" s="243"/>
      <c r="C4" s="243"/>
      <c r="D4" s="243"/>
      <c r="E4" s="243"/>
      <c r="F4" s="243"/>
      <c r="G4" s="243"/>
      <c r="H4" s="243"/>
      <c r="I4" s="243"/>
    </row>
    <row r="6" spans="1:12" ht="15.75" thickBot="1" x14ac:dyDescent="0.3">
      <c r="A6" s="70" t="s">
        <v>13</v>
      </c>
      <c r="B6" s="70" t="s">
        <v>140</v>
      </c>
      <c r="C6" s="70" t="s">
        <v>141</v>
      </c>
      <c r="D6" s="70" t="s">
        <v>142</v>
      </c>
      <c r="E6" s="70" t="s">
        <v>143</v>
      </c>
      <c r="F6" s="70" t="s">
        <v>149</v>
      </c>
      <c r="G6" s="70" t="s">
        <v>150</v>
      </c>
      <c r="H6" s="70" t="s">
        <v>151</v>
      </c>
      <c r="I6" s="71" t="s">
        <v>152</v>
      </c>
    </row>
    <row r="7" spans="1:12" x14ac:dyDescent="0.25">
      <c r="A7" s="72" t="s">
        <v>26</v>
      </c>
      <c r="B7" s="73"/>
      <c r="C7" s="73"/>
      <c r="D7" s="73"/>
      <c r="E7" s="73"/>
      <c r="F7" s="73"/>
      <c r="G7" s="73"/>
      <c r="H7" s="73"/>
      <c r="I7" s="74"/>
    </row>
    <row r="8" spans="1:12" ht="15.75" x14ac:dyDescent="0.25">
      <c r="A8" s="191" t="s">
        <v>89</v>
      </c>
      <c r="B8" s="23">
        <f>IF(ISERROR('QBR 2024'!C10/'QBR 2024'!C35/3),"--",'QBR 2024'!C10/'QBR 2024'!C35/3)</f>
        <v>0</v>
      </c>
      <c r="C8" s="23">
        <f>IF(ISERROR('QBR 2024'!D10/'QBR 2024'!D35/3),"--",'QBR 2024'!D10/'QBR 2024'!D35/3)</f>
        <v>0</v>
      </c>
      <c r="D8" s="23">
        <f>IF(ISERROR('QBR 2024'!E10/'QBR 2024'!E35/3),"--",'QBR 2024'!E10/'QBR 2024'!E35/3)</f>
        <v>0</v>
      </c>
      <c r="E8" s="23">
        <f>IF(ISERROR('QBR 2024'!F10/'QBR 2024'!F35/3),"--",'QBR 2024'!F10/'QBR 2024'!F35/3)</f>
        <v>0</v>
      </c>
      <c r="F8" s="23">
        <f>+SmartNumbers2025!B8</f>
        <v>65.454545454545453</v>
      </c>
      <c r="G8" s="23">
        <f>+SmartNumbers2025!C8</f>
        <v>74.606060606060609</v>
      </c>
      <c r="H8" s="23">
        <f>+SmartNumbers2025!D8</f>
        <v>70.064516129032256</v>
      </c>
      <c r="I8" s="26">
        <f>+SmartNumbers2025!E8</f>
        <v>64.36363636363636</v>
      </c>
    </row>
    <row r="9" spans="1:12" ht="15.75" x14ac:dyDescent="0.25">
      <c r="A9" s="192" t="s">
        <v>30</v>
      </c>
      <c r="B9" s="22" t="str">
        <f>IF(ISERROR('QBR 2024'!C10/'QBR 2024'!C9),"--",'QBR 2024'!C10/'QBR 2024'!C9)</f>
        <v>--</v>
      </c>
      <c r="C9" s="22" t="str">
        <f>IF(ISERROR('QBR 2024'!D10/'QBR 2024'!D9),"--",'QBR 2024'!D10/'QBR 2024'!D9)</f>
        <v>--</v>
      </c>
      <c r="D9" s="22" t="str">
        <f>IF(ISERROR('QBR 2024'!E10/'QBR 2024'!E9),"--",'QBR 2024'!E10/'QBR 2024'!E9)</f>
        <v>--</v>
      </c>
      <c r="E9" s="22" t="str">
        <f>IF(ISERROR('QBR 2024'!F10/'QBR 2024'!F9),"--",'QBR 2024'!F10/'QBR 2024'!F9)</f>
        <v>--</v>
      </c>
      <c r="F9" s="22">
        <f>+SmartNumbers2025!B9</f>
        <v>0.99907493061979646</v>
      </c>
      <c r="G9" s="22">
        <f>+SmartNumbers2025!C9</f>
        <v>0.99194198227236097</v>
      </c>
      <c r="H9" s="22">
        <f>+SmartNumbers2025!D9</f>
        <v>1.0055555555555555</v>
      </c>
      <c r="I9" s="27">
        <f>+SmartNumbers2025!E9</f>
        <v>0.98060941828254844</v>
      </c>
    </row>
    <row r="10" spans="1:12" ht="15.75" x14ac:dyDescent="0.25">
      <c r="A10" s="192" t="s">
        <v>90</v>
      </c>
      <c r="B10" s="23">
        <f>IF(ISERROR('QBR 2024'!C9/3/'QBR 2024'!C12),"--",'QBR 2024'!C9/3/'QBR 2024'!C12)</f>
        <v>0</v>
      </c>
      <c r="C10" s="23">
        <f>IF(ISERROR('QBR 2024'!D9/3/'QBR 2024'!D12),"--",'QBR 2024'!D9/3/'QBR 2024'!D12)</f>
        <v>0</v>
      </c>
      <c r="D10" s="23">
        <f>IF(ISERROR('QBR 2024'!E9/3/'QBR 2024'!E12),"--",'QBR 2024'!E9/3/'QBR 2024'!E12)</f>
        <v>0</v>
      </c>
      <c r="E10" s="23">
        <f>IF(ISERROR('QBR 2024'!F9/3/'QBR 2024'!F12),"--",'QBR 2024'!F9/3/'QBR 2024'!F12)</f>
        <v>0</v>
      </c>
      <c r="F10" s="23">
        <f>+SmartNumbers2025!B10</f>
        <v>0.60662177328843991</v>
      </c>
      <c r="G10" s="23">
        <f>+SmartNumbers2025!C10</f>
        <v>0.66936353829557715</v>
      </c>
      <c r="H10" s="23">
        <f>+SmartNumbers2025!D10</f>
        <v>0.62973760932944611</v>
      </c>
      <c r="I10" s="26">
        <f>+SmartNumbers2025!E10</f>
        <v>0.31282495667244364</v>
      </c>
    </row>
    <row r="11" spans="1:12" ht="15.75" x14ac:dyDescent="0.25">
      <c r="A11" s="192" t="s">
        <v>98</v>
      </c>
      <c r="B11" s="23">
        <f>IF(ISERROR('QBR 2024'!C11/'QBR 2024'!C12/3),"--",'QBR 2024'!C11/'QBR 2024'!C12/3)</f>
        <v>0</v>
      </c>
      <c r="C11" s="23">
        <f>IF(ISERROR('QBR 2024'!D11/'QBR 2024'!D12/3),"--",'QBR 2024'!D11/'QBR 2024'!D12/3)</f>
        <v>0</v>
      </c>
      <c r="D11" s="23">
        <f>IF(ISERROR('QBR 2024'!E11/'QBR 2024'!E12/3),"--",'QBR 2024'!E11/'QBR 2024'!E12/3)</f>
        <v>0</v>
      </c>
      <c r="E11" s="23">
        <f>IF(ISERROR('QBR 2024'!F11/'QBR 2024'!F12/3),"--",'QBR 2024'!F11/'QBR 2024'!F12/3)</f>
        <v>0</v>
      </c>
      <c r="F11" s="23">
        <f>+SmartNumbers2025!B11</f>
        <v>0.25375982042648709</v>
      </c>
      <c r="G11" s="23">
        <f>+SmartNumbers2025!C11</f>
        <v>0.21586839266450919</v>
      </c>
      <c r="H11" s="23">
        <f>+SmartNumbers2025!D11</f>
        <v>0</v>
      </c>
      <c r="I11" s="26">
        <f>+SmartNumbers2025!E11</f>
        <v>0</v>
      </c>
    </row>
    <row r="12" spans="1:12" ht="15.75" x14ac:dyDescent="0.25">
      <c r="A12" s="192" t="s">
        <v>29</v>
      </c>
      <c r="B12" s="23" t="str">
        <f>IF(ISERROR('QBR 2024'!C11/'QBR 2024'!C10),"--",'QBR 2024'!C11/'QBR 2024'!C10)</f>
        <v>--</v>
      </c>
      <c r="C12" s="23" t="str">
        <f>IF(ISERROR('QBR 2024'!D11/'QBR 2024'!D10),"--",'QBR 2024'!D11/'QBR 2024'!D10)</f>
        <v>--</v>
      </c>
      <c r="D12" s="23" t="str">
        <f>IF(ISERROR('QBR 2024'!E11/'QBR 2024'!E10),"--",'QBR 2024'!E11/'QBR 2024'!E10)</f>
        <v>--</v>
      </c>
      <c r="E12" s="23" t="str">
        <f>IF(ISERROR('QBR 2024'!F11/'QBR 2024'!F10),"--",'QBR 2024'!F11/'QBR 2024'!F10)</f>
        <v>--</v>
      </c>
      <c r="F12" s="23">
        <f>+SmartNumbers2025!B12</f>
        <v>0.41870370370370369</v>
      </c>
      <c r="G12" s="23">
        <f>+SmartNumbers2025!C12</f>
        <v>0.32511779041429734</v>
      </c>
      <c r="H12" s="23">
        <f>+SmartNumbers2025!D12</f>
        <v>0</v>
      </c>
      <c r="I12" s="26">
        <f>+SmartNumbers2025!E12</f>
        <v>0</v>
      </c>
    </row>
    <row r="13" spans="1:12" ht="15.75" x14ac:dyDescent="0.25">
      <c r="A13" s="192" t="s">
        <v>91</v>
      </c>
      <c r="B13" s="22">
        <f>IF(ISERROR('QBR 2024'!C11/3/('QBR 2024'!C35*167)),"--",'QBR 2024'!C11/3/('QBR 2024'!C35*167))</f>
        <v>0</v>
      </c>
      <c r="C13" s="22">
        <f>IF(ISERROR('QBR 2024'!D11/3/('QBR 2024'!D35*167)),"--",'QBR 2024'!D11/3/('QBR 2024'!D35*167))</f>
        <v>0</v>
      </c>
      <c r="D13" s="22">
        <f>IF(ISERROR('QBR 2024'!E11/3/('QBR 2024'!E35*167)),"--",'QBR 2024'!E11/3/('QBR 2024'!E35*167))</f>
        <v>0</v>
      </c>
      <c r="E13" s="22">
        <f>IF(ISERROR('QBR 2024'!F11/3/('QBR 2024'!F35*167)),"--",'QBR 2024'!F11/3/('QBR 2024'!F35*167))</f>
        <v>0</v>
      </c>
      <c r="F13" s="22">
        <f>+SmartNumbers2025!B13</f>
        <v>0.16410814734168025</v>
      </c>
      <c r="G13" s="22">
        <f>+SmartNumbers2025!C13</f>
        <v>0.14524405733986573</v>
      </c>
      <c r="H13" s="22">
        <f>+SmartNumbers2025!D13</f>
        <v>0</v>
      </c>
      <c r="I13" s="27">
        <f>+SmartNumbers2025!E13</f>
        <v>0</v>
      </c>
    </row>
    <row r="14" spans="1:12" x14ac:dyDescent="0.25">
      <c r="A14" s="48" t="s">
        <v>3</v>
      </c>
      <c r="B14" s="49"/>
      <c r="C14" s="49"/>
      <c r="D14" s="49"/>
      <c r="E14" s="49"/>
      <c r="F14" s="49"/>
      <c r="G14" s="49"/>
      <c r="H14" s="49"/>
      <c r="I14" s="51"/>
    </row>
    <row r="15" spans="1:12" ht="15.75" x14ac:dyDescent="0.25">
      <c r="A15" s="196" t="s">
        <v>17</v>
      </c>
      <c r="B15" s="22">
        <f>IF(ISERROR('QBR 2024'!C31/'QBR 2024'!C20),"--",'QBR 2024'!C31/'QBR 2024'!C20)</f>
        <v>6.7217361757193367E-2</v>
      </c>
      <c r="C15" s="22">
        <f>IF(ISERROR('QBR 2024'!D31/'QBR 2024'!D20),"--",'QBR 2024'!D31/'QBR 2024'!D20)</f>
        <v>4.8777761164680487E-2</v>
      </c>
      <c r="D15" s="22">
        <f>IF(ISERROR('QBR 2024'!E31/'QBR 2024'!E20),"--",'QBR 2024'!E31/'QBR 2024'!E20)</f>
        <v>6.5176027757486057E-2</v>
      </c>
      <c r="E15" s="22">
        <f>IF(ISERROR('QBR 2024'!F31/'QBR 2024'!F20),"--",'QBR 2024'!F31/'QBR 2024'!F20)</f>
        <v>6.9243069084222231E-2</v>
      </c>
      <c r="F15" s="22">
        <f>+SmartNumbers2025!B15</f>
        <v>0.1047578882269167</v>
      </c>
      <c r="G15" s="22">
        <f>+SmartNumbers2025!C15</f>
        <v>0.10855307217591917</v>
      </c>
      <c r="H15" s="22">
        <f>+SmartNumbers2025!D15</f>
        <v>0.11865078250202495</v>
      </c>
      <c r="I15" s="27">
        <f>+SmartNumbers2025!E15</f>
        <v>0.17389481487064076</v>
      </c>
      <c r="J15" s="218">
        <f>SmartNumbers2025!F15</f>
        <v>0.1175254182142448</v>
      </c>
      <c r="K15" s="3">
        <v>2025</v>
      </c>
      <c r="L15" s="214"/>
    </row>
    <row r="16" spans="1:12" x14ac:dyDescent="0.25">
      <c r="A16" s="16"/>
      <c r="B16" s="13"/>
      <c r="C16" s="13"/>
      <c r="D16" s="13"/>
      <c r="E16" s="13"/>
      <c r="F16" s="13"/>
      <c r="G16" s="13"/>
      <c r="H16" s="13"/>
      <c r="I16" s="17"/>
      <c r="J16" s="218">
        <v>6.2799999999999995E-2</v>
      </c>
      <c r="K16" s="3">
        <v>2024</v>
      </c>
    </row>
    <row r="17" spans="1:11" x14ac:dyDescent="0.25">
      <c r="A17" s="48" t="s">
        <v>0</v>
      </c>
      <c r="B17" s="75"/>
      <c r="C17" s="75"/>
      <c r="D17" s="75"/>
      <c r="E17" s="75"/>
      <c r="F17" s="75"/>
      <c r="G17" s="75"/>
      <c r="H17" s="75"/>
      <c r="I17" s="76"/>
      <c r="J17" s="218">
        <v>-1.9E-2</v>
      </c>
      <c r="K17" s="3">
        <v>2023</v>
      </c>
    </row>
    <row r="18" spans="1:11" ht="15.75" x14ac:dyDescent="0.25">
      <c r="A18" s="196" t="s">
        <v>18</v>
      </c>
      <c r="B18" s="22">
        <f>IF(ISERROR(SUM('QBR 2024'!C15:C16)/'QBR 2024'!C20),"--",SUM('QBR 2024'!C15:C16)/'QBR 2024'!C20)</f>
        <v>0.70584687268155666</v>
      </c>
      <c r="C18" s="22">
        <f>IF(ISERROR(SUM('QBR 2024'!D15:D16)/'QBR 2024'!D20),"--",SUM('QBR 2024'!D15:D16)/'QBR 2024'!D20)</f>
        <v>0.73561323995203909</v>
      </c>
      <c r="D18" s="22">
        <f>IF(ISERROR(SUM('QBR 2024'!E15:E16)/'QBR 2024'!E20),"--",SUM('QBR 2024'!E15:E16)/'QBR 2024'!E20)</f>
        <v>0.77889381360639454</v>
      </c>
      <c r="E18" s="22">
        <f>IF(ISERROR(SUM('QBR 2024'!F15:F16)/'QBR 2024'!F20),"--",SUM('QBR 2024'!F15:F16)/'QBR 2024'!F20)</f>
        <v>0.71216371961870495</v>
      </c>
      <c r="F18" s="22">
        <f>+SmartNumbers2025!B18</f>
        <v>0.70270940272826832</v>
      </c>
      <c r="G18" s="22">
        <f>+SmartNumbers2025!C18</f>
        <v>0.75389759108914334</v>
      </c>
      <c r="H18" s="22">
        <f>+SmartNumbers2025!D18</f>
        <v>0.70153245340116344</v>
      </c>
      <c r="I18" s="27">
        <f>+SmartNumbers2025!E18</f>
        <v>0.72100044854194023</v>
      </c>
      <c r="J18" s="218">
        <v>7.3030939362932049E-2</v>
      </c>
      <c r="K18" s="3">
        <v>2022</v>
      </c>
    </row>
    <row r="19" spans="1:11" ht="15.75" x14ac:dyDescent="0.25">
      <c r="A19" s="196" t="s">
        <v>19</v>
      </c>
      <c r="B19" s="22">
        <f>IF(ISERROR('QBR 2024'!C16/('QBR 2024'!C15+'QBR 2024'!C16)),"--",'QBR 2024'!C16/('QBR 2024'!C15+'QBR 2024'!C16))</f>
        <v>0.91560606545065593</v>
      </c>
      <c r="C19" s="22">
        <f>IF(ISERROR('QBR 2024'!D16/('QBR 2024'!D15+'QBR 2024'!D16)),"--",'QBR 2024'!D16/('QBR 2024'!D15+'QBR 2024'!D16))</f>
        <v>0.93989565713896384</v>
      </c>
      <c r="D19" s="22">
        <f>IF(ISERROR('QBR 2024'!E16/('QBR 2024'!E15+'QBR 2024'!E16)),"--",'QBR 2024'!E16/('QBR 2024'!E15+'QBR 2024'!E16))</f>
        <v>0.95622693770152933</v>
      </c>
      <c r="E19" s="22">
        <f>IF(ISERROR('QBR 2024'!F16/('QBR 2024'!F15+'QBR 2024'!F16)),"--",'QBR 2024'!F16/('QBR 2024'!F15+'QBR 2024'!F16))</f>
        <v>0.92346533995826519</v>
      </c>
      <c r="F19" s="22">
        <f>+SmartNumbers2025!B19</f>
        <v>0.91089069332991979</v>
      </c>
      <c r="G19" s="22">
        <f>+SmartNumbers2025!C19</f>
        <v>0.97344500723595173</v>
      </c>
      <c r="H19" s="22">
        <f>+SmartNumbers2025!D19</f>
        <v>0.92108386967533051</v>
      </c>
      <c r="I19" s="27">
        <f>+SmartNumbers2025!E19</f>
        <v>0.83704659521719804</v>
      </c>
      <c r="J19" s="214">
        <v>0.19070000000000001</v>
      </c>
      <c r="K19" s="3">
        <v>2021</v>
      </c>
    </row>
    <row r="20" spans="1:11" x14ac:dyDescent="0.25">
      <c r="A20" s="16"/>
      <c r="B20" s="13"/>
      <c r="C20" s="13"/>
      <c r="D20" s="13"/>
      <c r="E20" s="13"/>
      <c r="F20" s="13"/>
      <c r="G20" s="13"/>
      <c r="H20" s="13"/>
      <c r="I20" s="17"/>
      <c r="J20" s="214">
        <v>0.15748813011677798</v>
      </c>
      <c r="K20" s="3">
        <v>2020</v>
      </c>
    </row>
    <row r="21" spans="1:11" x14ac:dyDescent="0.25">
      <c r="A21" s="48" t="s">
        <v>20</v>
      </c>
      <c r="B21" s="75"/>
      <c r="C21" s="75"/>
      <c r="D21" s="75"/>
      <c r="E21" s="75"/>
      <c r="F21" s="75"/>
      <c r="G21" s="75"/>
      <c r="H21" s="75"/>
      <c r="I21" s="76"/>
      <c r="J21" s="214">
        <v>0.15860908144802674</v>
      </c>
      <c r="K21" s="3">
        <v>2019</v>
      </c>
    </row>
    <row r="22" spans="1:11" ht="15.75" x14ac:dyDescent="0.25">
      <c r="A22" s="196" t="s">
        <v>92</v>
      </c>
      <c r="B22" s="183">
        <f>IF(ISERROR(SUM('QBR 2024'!C$15:C$17)/'QBR 2024'!C$34*4),"--",SUM('QBR 2024'!C$15:C$17)/'QBR 2024'!C$34*4)</f>
        <v>192828.90823529413</v>
      </c>
      <c r="C22" s="183">
        <f>IF(ISERROR(SUM('QBR 2024'!D$15:D$17)/'QBR 2024'!D$34*4),"--",SUM('QBR 2024'!D$15:D$17)/'QBR 2024'!D$34*4)</f>
        <v>176301.30823529413</v>
      </c>
      <c r="D22" s="183">
        <f>IF(ISERROR(SUM('QBR 2024'!E$15:E$17)/'QBR 2024'!E$34*4),"--",SUM('QBR 2024'!E$15:E$17)/'QBR 2024'!E$34*4)</f>
        <v>180016.96470588233</v>
      </c>
      <c r="E22" s="183">
        <f>IF(ISERROR(SUM('QBR 2024'!F$15:F$17)/'QBR 2024'!F$34*4),"--",SUM('QBR 2024'!F$15:F$17)/'QBR 2024'!F$34*4)</f>
        <v>202058.32941176472</v>
      </c>
      <c r="F22" s="183">
        <f>+SmartNumbers2025!B22</f>
        <v>220817.96235294116</v>
      </c>
      <c r="G22" s="183">
        <f>+SmartNumbers2025!C22</f>
        <v>204723.32705882352</v>
      </c>
      <c r="H22" s="183">
        <f>+SmartNumbers2025!D22</f>
        <v>202289.38285714286</v>
      </c>
      <c r="I22" s="181">
        <f>+SmartNumbers2025!E22</f>
        <v>201653.54823529409</v>
      </c>
      <c r="J22" s="214">
        <v>7.7700000000000005E-2</v>
      </c>
      <c r="K22" s="3">
        <v>2018</v>
      </c>
    </row>
    <row r="23" spans="1:11" ht="15.75" x14ac:dyDescent="0.25">
      <c r="A23" s="196" t="s">
        <v>93</v>
      </c>
      <c r="B23" s="183">
        <f>IF(ISERROR(SUM('QBR 2024'!C$15:C$17)/'QBR 2024'!C$35*4),"--",SUM('QBR 2024'!C$15:C$17)/'QBR 2024'!C$35*4)</f>
        <v>298008.31272727274</v>
      </c>
      <c r="C23" s="183">
        <f>IF(ISERROR(SUM('QBR 2024'!D$15:D$17)/'QBR 2024'!D$35*4),"--",SUM('QBR 2024'!D$15:D$17)/'QBR 2024'!D$35*4)</f>
        <v>272465.6581818182</v>
      </c>
      <c r="D23" s="183">
        <f>IF(ISERROR(SUM('QBR 2024'!E$15:E$17)/'QBR 2024'!E$35*4),"--",SUM('QBR 2024'!E$15:E$17)/'QBR 2024'!E$35*4)</f>
        <v>278208.03636363632</v>
      </c>
      <c r="E23" s="183">
        <f>IF(ISERROR(SUM('QBR 2024'!F$15:F$17)/'QBR 2024'!F$35*4),"--",SUM('QBR 2024'!F$15:F$17)/'QBR 2024'!F$35*4)</f>
        <v>312271.96363636362</v>
      </c>
      <c r="F23" s="183">
        <f>+SmartNumbers2025!B23</f>
        <v>341264.1236363636</v>
      </c>
      <c r="G23" s="183">
        <f>+SmartNumbers2025!C23</f>
        <v>256130.15999999997</v>
      </c>
      <c r="H23" s="183">
        <f>+SmartNumbers2025!D23</f>
        <v>275476.61419354839</v>
      </c>
      <c r="I23" s="181">
        <f>+SmartNumbers2025!E23</f>
        <v>284708.2690909091</v>
      </c>
      <c r="J23" s="218">
        <v>4.7199999999999999E-2</v>
      </c>
      <c r="K23" s="3">
        <v>2017</v>
      </c>
    </row>
    <row r="24" spans="1:11" ht="15.75" x14ac:dyDescent="0.25">
      <c r="A24" s="196" t="s">
        <v>21</v>
      </c>
      <c r="B24" s="183">
        <f>IF(ISERROR('QBR 2024'!C16/'QBR 2024'!C36/3),"--",'QBR 2024'!C16/'QBR 2024'!C36/3)</f>
        <v>200.9695530726257</v>
      </c>
      <c r="C24" s="183">
        <f>IF(ISERROR('QBR 2024'!D16/'QBR 2024'!D36/3),"--",'QBR 2024'!D16/'QBR 2024'!D36/3)</f>
        <v>201.98651856763925</v>
      </c>
      <c r="D24" s="183">
        <f>IF(ISERROR('QBR 2024'!E16/'QBR 2024'!E36/3),"--",'QBR 2024'!E16/'QBR 2024'!E36/3)</f>
        <v>201.9960677083333</v>
      </c>
      <c r="E24" s="183">
        <f>IF(ISERROR('QBR 2024'!F16/'QBR 2024'!F36/3),"--",'QBR 2024'!F16/'QBR 2024'!F36/3)</f>
        <v>198.96119254658387</v>
      </c>
      <c r="F24" s="183">
        <f>+SmartNumbers2025!B24</f>
        <v>202.30506437768244</v>
      </c>
      <c r="G24" s="183">
        <f>+SmartNumbers2025!C24</f>
        <v>201.6628588235294</v>
      </c>
      <c r="H24" s="183">
        <f>+SmartNumbers2025!D24</f>
        <v>209.02022321428572</v>
      </c>
      <c r="I24" s="181" t="str">
        <f>+SmartNumbers2025!E24</f>
        <v>--</v>
      </c>
    </row>
    <row r="25" spans="1:11" ht="15.75" x14ac:dyDescent="0.25">
      <c r="A25" s="196" t="s">
        <v>22</v>
      </c>
      <c r="B25" s="183">
        <f>IF(ISERROR('QBR 2024'!C16/'QBR 2024'!C37/3),"--",'QBR 2024'!C16/'QBR 2024'!C37/3)</f>
        <v>2794.0621359223301</v>
      </c>
      <c r="C25" s="183">
        <f>IF(ISERROR('QBR 2024'!D16/'QBR 2024'!D37/3),"--",'QBR 2024'!D16/'QBR 2024'!D37/3)</f>
        <v>2928.8045192307695</v>
      </c>
      <c r="D25" s="183">
        <f>IF(ISERROR('QBR 2024'!E16/'QBR 2024'!E37/3),"--",'QBR 2024'!E16/'QBR 2024'!E37/3)</f>
        <v>2954.9139047619046</v>
      </c>
      <c r="E25" s="183">
        <f>IF(ISERROR('QBR 2024'!F16/'QBR 2024'!F37/3),"--",'QBR 2024'!F16/'QBR 2024'!F37/3)</f>
        <v>3050.7382857142857</v>
      </c>
      <c r="F25" s="183">
        <f>+SmartNumbers2025!B25</f>
        <v>3027.1519266055043</v>
      </c>
      <c r="G25" s="183">
        <f>+SmartNumbers2025!C25</f>
        <v>3033.8660176991148</v>
      </c>
      <c r="H25" s="183">
        <f>+SmartNumbers2025!D25</f>
        <v>2900.3868141592925</v>
      </c>
      <c r="I25" s="181" t="str">
        <f>+SmartNumbers2025!E25</f>
        <v>--</v>
      </c>
    </row>
    <row r="26" spans="1:11" x14ac:dyDescent="0.25">
      <c r="A26" s="16"/>
      <c r="B26" s="13"/>
      <c r="C26" s="13"/>
      <c r="D26" s="13"/>
      <c r="E26" s="13"/>
      <c r="F26" s="13"/>
      <c r="G26" s="13"/>
      <c r="H26" s="13"/>
      <c r="I26" s="17"/>
    </row>
    <row r="27" spans="1:11" x14ac:dyDescent="0.25">
      <c r="A27" s="48" t="s">
        <v>4</v>
      </c>
      <c r="B27" s="75"/>
      <c r="C27" s="75"/>
      <c r="D27" s="75"/>
      <c r="E27" s="75"/>
      <c r="F27" s="75"/>
      <c r="G27" s="75"/>
      <c r="H27" s="75"/>
      <c r="I27" s="76"/>
    </row>
    <row r="28" spans="1:11" ht="15.75" x14ac:dyDescent="0.25">
      <c r="A28" s="196" t="s">
        <v>23</v>
      </c>
      <c r="B28" s="183">
        <f>'QBR 2024'!C44</f>
        <v>9528</v>
      </c>
      <c r="C28" s="183">
        <f>'QBR 2024'!D44</f>
        <v>0</v>
      </c>
      <c r="D28" s="183">
        <f>'QBR 2024'!E44</f>
        <v>100</v>
      </c>
      <c r="E28" s="183">
        <f>'QBR 2024'!F44</f>
        <v>0</v>
      </c>
      <c r="F28" s="183">
        <f>+SmartNumbers2025!B28</f>
        <v>0</v>
      </c>
      <c r="G28" s="183">
        <f>+SmartNumbers2025!C28</f>
        <v>2902</v>
      </c>
      <c r="H28" s="183">
        <f>+SmartNumbers2025!D28</f>
        <v>2471</v>
      </c>
      <c r="I28" s="181">
        <f>+SmartNumbers2025!E28</f>
        <v>0</v>
      </c>
    </row>
    <row r="29" spans="1:11" ht="15.75" x14ac:dyDescent="0.25">
      <c r="A29" s="196" t="s">
        <v>24</v>
      </c>
      <c r="B29" s="183">
        <f>'QBR 2024'!C45</f>
        <v>0</v>
      </c>
      <c r="C29" s="183">
        <f>'QBR 2024'!D45</f>
        <v>779.68</v>
      </c>
      <c r="D29" s="183">
        <f>'QBR 2024'!E45</f>
        <v>0</v>
      </c>
      <c r="E29" s="183">
        <f>'QBR 2024'!F45</f>
        <v>0</v>
      </c>
      <c r="F29" s="183">
        <f>+SmartNumbers2025!B29</f>
        <v>182.4</v>
      </c>
      <c r="G29" s="183">
        <f>+SmartNumbers2025!C29</f>
        <v>2354</v>
      </c>
      <c r="H29" s="183">
        <f>+SmartNumbers2025!D29</f>
        <v>12458.08</v>
      </c>
      <c r="I29" s="181">
        <f>+SmartNumbers2025!E29</f>
        <v>0</v>
      </c>
    </row>
    <row r="30" spans="1:11" ht="15.75" x14ac:dyDescent="0.25">
      <c r="A30" s="196" t="s">
        <v>25</v>
      </c>
      <c r="B30" s="183">
        <f>B28-B29</f>
        <v>9528</v>
      </c>
      <c r="C30" s="183">
        <f>C28-C29</f>
        <v>-779.68</v>
      </c>
      <c r="D30" s="183">
        <f>D28-D29</f>
        <v>100</v>
      </c>
      <c r="E30" s="183">
        <f>E28-E29</f>
        <v>0</v>
      </c>
      <c r="F30" s="183">
        <f>+SmartNumbers2025!B30</f>
        <v>-182.4</v>
      </c>
      <c r="G30" s="183">
        <f>+SmartNumbers2025!C30</f>
        <v>548</v>
      </c>
      <c r="H30" s="183">
        <f>+SmartNumbers2025!D30</f>
        <v>-9987.08</v>
      </c>
      <c r="I30" s="181">
        <f>+SmartNumbers2025!E30</f>
        <v>0</v>
      </c>
    </row>
    <row r="31" spans="1:11" ht="15.75" x14ac:dyDescent="0.25">
      <c r="A31" s="196" t="s">
        <v>31</v>
      </c>
      <c r="B31" s="138">
        <f>IF(ISERROR('QBR 2024'!C40/'QBR 2024'!C41),"--",'QBR 2024'!C40/'QBR 2024'!C41)</f>
        <v>0</v>
      </c>
      <c r="C31" s="138">
        <f>IF(ISERROR('QBR 2024'!D40/'QBR 2024'!D41),"--",'QBR 2024'!D40/'QBR 2024'!D41)</f>
        <v>0</v>
      </c>
      <c r="D31" s="138" t="str">
        <f>IF(ISERROR('QBR 2024'!E40/'QBR 2024'!E41),"--",'QBR 2024'!E40/'QBR 2024'!E41)</f>
        <v>--</v>
      </c>
      <c r="E31" s="138">
        <f>IF(ISERROR('QBR 2024'!F40/'QBR 2024'!F41),"--",'QBR 2024'!F40/'QBR 2024'!F41)</f>
        <v>0</v>
      </c>
      <c r="F31" s="138" t="str">
        <f>+SmartNumbers2025!B31</f>
        <v>--</v>
      </c>
      <c r="G31" s="138">
        <f>+SmartNumbers2025!C31</f>
        <v>0</v>
      </c>
      <c r="H31" s="138">
        <f>+SmartNumbers2025!D31</f>
        <v>0</v>
      </c>
      <c r="I31" s="195">
        <f>+SmartNumbers2025!E31</f>
        <v>0</v>
      </c>
    </row>
    <row r="32" spans="1:11" ht="15.75" x14ac:dyDescent="0.25">
      <c r="A32" s="196" t="s">
        <v>32</v>
      </c>
      <c r="B32" s="13">
        <f>'QBR 2024'!C41</f>
        <v>12</v>
      </c>
      <c r="C32" s="13">
        <f>'QBR 2024'!D41</f>
        <v>4</v>
      </c>
      <c r="D32" s="13">
        <f>'QBR 2024'!E41</f>
        <v>0</v>
      </c>
      <c r="E32" s="13">
        <f>'QBR 2024'!F41</f>
        <v>2</v>
      </c>
      <c r="F32" s="138">
        <f>+SmartNumbers2025!B32</f>
        <v>0</v>
      </c>
      <c r="G32" s="13">
        <f>+SmartNumbers2025!C32</f>
        <v>3</v>
      </c>
      <c r="H32" s="13">
        <f>+SmartNumbers2025!D32</f>
        <v>4</v>
      </c>
      <c r="I32" s="17">
        <f>+SmartNumbers2025!E32</f>
        <v>3</v>
      </c>
    </row>
    <row r="33" spans="1:9" ht="15.75" x14ac:dyDescent="0.25">
      <c r="A33" s="196" t="s">
        <v>33</v>
      </c>
      <c r="B33" s="25">
        <f>IF(ISERROR('QBR 2024'!C43/'QBR 2024'!C41),"--",'QBR 2024'!C43/'QBR 2024'!C41)</f>
        <v>0.25</v>
      </c>
      <c r="C33" s="25">
        <f>IF(ISERROR('QBR 2024'!D43/'QBR 2024'!D41),"--",'QBR 2024'!D43/'QBR 2024'!D41)</f>
        <v>0</v>
      </c>
      <c r="D33" s="25" t="str">
        <f>IF(ISERROR('QBR 2024'!E43/'QBR 2024'!E41),"--",'QBR 2024'!E43/'QBR 2024'!E41)</f>
        <v>--</v>
      </c>
      <c r="E33" s="25">
        <f>IF(ISERROR('QBR 2024'!F43/'QBR 2024'!F41),"--",'QBR 2024'!F43/'QBR 2024'!F41)</f>
        <v>0</v>
      </c>
      <c r="F33" s="25" t="str">
        <f>+SmartNumbers2025!B33</f>
        <v>--</v>
      </c>
      <c r="G33" s="25">
        <f>+SmartNumbers2025!C33</f>
        <v>1</v>
      </c>
      <c r="H33" s="25">
        <f>+SmartNumbers2025!D33</f>
        <v>0.5</v>
      </c>
      <c r="I33" s="29">
        <f>+SmartNumbers2025!E33</f>
        <v>0</v>
      </c>
    </row>
    <row r="34" spans="1:9" ht="15.75" thickBot="1" x14ac:dyDescent="0.3">
      <c r="A34" s="18"/>
      <c r="B34" s="19"/>
      <c r="C34" s="19"/>
      <c r="D34" s="19"/>
      <c r="E34" s="20"/>
      <c r="F34" s="19"/>
      <c r="G34" s="19"/>
      <c r="H34" s="19"/>
      <c r="I34" s="21"/>
    </row>
  </sheetData>
  <mergeCells count="2">
    <mergeCell ref="A4:I4"/>
    <mergeCell ref="A2:I2"/>
  </mergeCells>
  <conditionalFormatting sqref="B15:I15">
    <cfRule type="cellIs" dxfId="1" priority="1" stopIfTrue="1" operator="lessThan">
      <formula>0.05</formula>
    </cfRule>
  </conditionalFormatting>
  <printOptions horizontalCentered="1"/>
  <pageMargins left="0.7" right="0.7" top="0.75" bottom="0.75" header="0.3" footer="0.3"/>
  <pageSetup scale="80" orientation="landscape" r:id="rId1"/>
  <ignoredErrors>
    <ignoredError sqref="C14:E14 C16:E16 B14 B16 B20:B21 B26:B30 B32 C20:E21 C26:E30 C32:E32 C17:E17 B17" evalError="1"/>
  </ignoredError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pageSetUpPr fitToPage="1"/>
  </sheetPr>
  <dimension ref="A1:M48"/>
  <sheetViews>
    <sheetView zoomScale="120" zoomScaleNormal="120" workbookViewId="0">
      <selection activeCell="I15" sqref="I15"/>
    </sheetView>
  </sheetViews>
  <sheetFormatPr defaultRowHeight="15" x14ac:dyDescent="0.25"/>
  <cols>
    <col min="1" max="1" width="49.5703125" style="3" customWidth="1"/>
    <col min="2" max="3" width="10.7109375" style="3" customWidth="1"/>
    <col min="4" max="4" width="11.42578125" style="3" bestFit="1" customWidth="1"/>
    <col min="5" max="5" width="10.7109375" style="9" customWidth="1"/>
    <col min="6" max="13" width="10.7109375" style="3" customWidth="1"/>
    <col min="14" max="16384" width="9.140625" style="3"/>
  </cols>
  <sheetData>
    <row r="1" spans="1:13" s="1" customFormat="1" ht="69" customHeight="1" x14ac:dyDescent="0.2">
      <c r="E1" s="8"/>
    </row>
    <row r="2" spans="1:13" s="2" customFormat="1" ht="47.1" customHeight="1" x14ac:dyDescent="0.2">
      <c r="A2" s="239" t="s">
        <v>94</v>
      </c>
      <c r="B2" s="239"/>
      <c r="C2" s="239"/>
      <c r="D2" s="239"/>
      <c r="E2" s="239"/>
      <c r="F2" s="239"/>
      <c r="G2" s="239"/>
      <c r="H2" s="239"/>
      <c r="I2" s="239"/>
      <c r="J2" s="239"/>
      <c r="K2" s="239"/>
      <c r="L2" s="239"/>
      <c r="M2" s="239"/>
    </row>
    <row r="4" spans="1:13" ht="36" x14ac:dyDescent="0.55000000000000004">
      <c r="A4" s="243" t="s">
        <v>153</v>
      </c>
      <c r="B4" s="243"/>
      <c r="C4" s="243"/>
      <c r="D4" s="243"/>
      <c r="E4" s="243"/>
      <c r="F4" s="243"/>
      <c r="G4" s="243"/>
      <c r="H4" s="243"/>
      <c r="I4" s="243"/>
      <c r="J4" s="243"/>
      <c r="K4" s="243"/>
      <c r="L4" s="243"/>
      <c r="M4" s="243"/>
    </row>
    <row r="6" spans="1:13" x14ac:dyDescent="0.25">
      <c r="A6" s="200" t="s">
        <v>13</v>
      </c>
      <c r="B6" s="66" t="s">
        <v>41</v>
      </c>
      <c r="C6" s="66" t="s">
        <v>42</v>
      </c>
      <c r="D6" s="66" t="s">
        <v>43</v>
      </c>
      <c r="E6" s="66" t="s">
        <v>44</v>
      </c>
      <c r="F6" s="66" t="s">
        <v>45</v>
      </c>
      <c r="G6" s="66" t="s">
        <v>46</v>
      </c>
      <c r="H6" s="66" t="s">
        <v>47</v>
      </c>
      <c r="I6" s="66" t="s">
        <v>48</v>
      </c>
      <c r="J6" s="66" t="s">
        <v>49</v>
      </c>
      <c r="K6" s="201" t="s">
        <v>50</v>
      </c>
      <c r="L6" s="66" t="s">
        <v>51</v>
      </c>
      <c r="M6" s="66" t="s">
        <v>52</v>
      </c>
    </row>
    <row r="7" spans="1:13" x14ac:dyDescent="0.25">
      <c r="A7" s="198" t="s">
        <v>26</v>
      </c>
      <c r="B7" s="199"/>
      <c r="C7" s="199"/>
      <c r="D7" s="199"/>
      <c r="E7" s="199"/>
      <c r="F7" s="199"/>
      <c r="G7" s="199"/>
      <c r="H7" s="199"/>
      <c r="I7" s="199"/>
      <c r="J7" s="199"/>
      <c r="K7" s="199"/>
      <c r="L7" s="199"/>
      <c r="M7" s="199"/>
    </row>
    <row r="8" spans="1:13" ht="15.75" x14ac:dyDescent="0.25">
      <c r="A8" s="191" t="s">
        <v>89</v>
      </c>
      <c r="B8" s="23">
        <f>IF(ISERROR(MonthlyINPUT!C10/MonthlyINPUT!C35),"--",MonthlyINPUT!C10/MonthlyINPUT!C35)</f>
        <v>64.545454545454547</v>
      </c>
      <c r="C8" s="23">
        <f>IF(ISERROR(MonthlyINPUT!D10/MonthlyINPUT!D35),"--",MonthlyINPUT!D10/MonthlyINPUT!D35)</f>
        <v>53.454545454545453</v>
      </c>
      <c r="D8" s="23">
        <f>IF(ISERROR(MonthlyINPUT!E10/MonthlyINPUT!E35),"--",MonthlyINPUT!E10/MonthlyINPUT!E35)</f>
        <v>78.36363636363636</v>
      </c>
      <c r="E8" s="23">
        <f>IF(ISERROR(MonthlyINPUT!F10/MonthlyINPUT!F35),"--",MonthlyINPUT!F10/MonthlyINPUT!F35)</f>
        <v>67.818181818181813</v>
      </c>
      <c r="F8" s="23">
        <f>IF(ISERROR(MonthlyINPUT!G10/MonthlyINPUT!G35),"--",MonthlyINPUT!G10/MonthlyINPUT!G35)</f>
        <v>70</v>
      </c>
      <c r="G8" s="23">
        <f>IF(ISERROR(MonthlyINPUT!H10/MonthlyINPUT!H35),"--",MonthlyINPUT!H10/MonthlyINPUT!H35)</f>
        <v>86</v>
      </c>
      <c r="H8" s="23">
        <f>IF(ISERROR(MonthlyINPUT!I10/MonthlyINPUT!I35),"--",MonthlyINPUT!I10/MonthlyINPUT!I35)</f>
        <v>99.818181818181813</v>
      </c>
      <c r="I8" s="23">
        <f>IF(ISERROR(MonthlyINPUT!J10/MonthlyINPUT!J35),"--",MonthlyINPUT!J10/MonthlyINPUT!J35)</f>
        <v>44.727272727272727</v>
      </c>
      <c r="J8" s="23">
        <f>IF(ISERROR(MonthlyINPUT!K10/MonthlyINPUT!K35),"--",MonthlyINPUT!K10/MonthlyINPUT!K35)</f>
        <v>64.666666666666671</v>
      </c>
      <c r="K8" s="23">
        <f>IF(ISERROR(MonthlyINPUT!L10/MonthlyINPUT!L35),"--",MonthlyINPUT!L10/MonthlyINPUT!L35)</f>
        <v>64.36363636363636</v>
      </c>
      <c r="L8" s="23" t="str">
        <f>IF(ISERROR(MonthlyINPUT!M10/MonthlyINPUT!M35),"--",MonthlyINPUT!M10/MonthlyINPUT!M35)</f>
        <v>--</v>
      </c>
      <c r="M8" s="23" t="str">
        <f>IF(ISERROR(MonthlyINPUT!N10/MonthlyINPUT!N35),"--",MonthlyINPUT!N10/MonthlyINPUT!N35)</f>
        <v>--</v>
      </c>
    </row>
    <row r="9" spans="1:13" ht="15.75" x14ac:dyDescent="0.25">
      <c r="A9" s="192" t="s">
        <v>30</v>
      </c>
      <c r="B9" s="22">
        <f>IF(ISERROR(MonthlyINPUT!C10/MonthlyINPUT!C9),"--",MonthlyINPUT!C10/MonthlyINPUT!C9)</f>
        <v>1.0028248587570621</v>
      </c>
      <c r="C9" s="22">
        <f>IF(ISERROR(MonthlyINPUT!D10/MonthlyINPUT!D9),"--",MonthlyINPUT!D10/MonthlyINPUT!D9)</f>
        <v>1</v>
      </c>
      <c r="D9" s="22">
        <f>IF(ISERROR(MonthlyINPUT!E10/MonthlyINPUT!E9),"--",MonthlyINPUT!E10/MonthlyINPUT!E9)</f>
        <v>0.99538106235565815</v>
      </c>
      <c r="E9" s="22">
        <f>IF(ISERROR(MonthlyINPUT!F10/MonthlyINPUT!F9),"--",MonthlyINPUT!F10/MonthlyINPUT!F9)</f>
        <v>0.98938992042440321</v>
      </c>
      <c r="F9" s="22">
        <f>IF(ISERROR(MonthlyINPUT!G10/MonthlyINPUT!G9),"--",MonthlyINPUT!G10/MonthlyINPUT!G9)</f>
        <v>0.99740932642487046</v>
      </c>
      <c r="G9" s="22">
        <f>IF(ISERROR(MonthlyINPUT!H10/MonthlyINPUT!H9),"--",MonthlyINPUT!H10/MonthlyINPUT!H9)</f>
        <v>0.9895397489539749</v>
      </c>
      <c r="H9" s="22">
        <f>IF(ISERROR(MonthlyINPUT!I10/MonthlyINPUT!I9),"--",MonthlyINPUT!I10/MonthlyINPUT!I9)</f>
        <v>1.0129151291512914</v>
      </c>
      <c r="I9" s="22">
        <f>IF(ISERROR(MonthlyINPUT!J10/MonthlyINPUT!J9),"--",MonthlyINPUT!J10/MonthlyINPUT!J9)</f>
        <v>0.98795180722891562</v>
      </c>
      <c r="J9" s="22">
        <f>IF(ISERROR(MonthlyINPUT!K10/MonthlyINPUT!K9),"--",MonthlyINPUT!K10/MonthlyINPUT!K9)</f>
        <v>1.0069204152249136</v>
      </c>
      <c r="K9" s="22">
        <f>IF(ISERROR(MonthlyINPUT!L10/MonthlyINPUT!L9),"--",MonthlyINPUT!L10/MonthlyINPUT!L9)</f>
        <v>0.98060941828254844</v>
      </c>
      <c r="L9" s="22" t="str">
        <f>IF(ISERROR(MonthlyINPUT!M10/MonthlyINPUT!M9),"--",MonthlyINPUT!M10/MonthlyINPUT!M9)</f>
        <v>--</v>
      </c>
      <c r="M9" s="22" t="str">
        <f>IF(ISERROR(MonthlyINPUT!N10/MonthlyINPUT!N9),"--",MonthlyINPUT!N10/MonthlyINPUT!N9)</f>
        <v>--</v>
      </c>
    </row>
    <row r="10" spans="1:13" ht="15.75" x14ac:dyDescent="0.25">
      <c r="A10" s="192" t="s">
        <v>90</v>
      </c>
      <c r="B10" s="23">
        <f>IF(ISERROR(MonthlyINPUT!C9/MonthlyINPUT!C12),"--",MonthlyINPUT!C9/MonthlyINPUT!C12)</f>
        <v>0.59296482412060303</v>
      </c>
      <c r="C10" s="23">
        <f>IF(ISERROR(MonthlyINPUT!D9/MonthlyINPUT!D12),"--",MonthlyINPUT!D9/MonthlyINPUT!D12)</f>
        <v>0.49494949494949497</v>
      </c>
      <c r="D10" s="23">
        <f>IF(ISERROR(MonthlyINPUT!E9/MonthlyINPUT!E12),"--",MonthlyINPUT!E9/MonthlyINPUT!E12)</f>
        <v>0.73265651438240276</v>
      </c>
      <c r="E10" s="23">
        <f>IF(ISERROR(MonthlyINPUT!F9/MonthlyINPUT!F12),"--",MonthlyINPUT!F9/MonthlyINPUT!F12)</f>
        <v>0.6150081566068516</v>
      </c>
      <c r="F10" s="23">
        <f>IF(ISERROR(MonthlyINPUT!G9/MonthlyINPUT!G12),"--",MonthlyINPUT!G9/MonthlyINPUT!G12)</f>
        <v>0.60312500000000002</v>
      </c>
      <c r="G10" s="23">
        <f>IF(ISERROR(MonthlyINPUT!H9/MonthlyINPUT!H12),"--",MonthlyINPUT!H9/MonthlyINPUT!H12)</f>
        <v>0.7953410981697171</v>
      </c>
      <c r="H10" s="23">
        <f>IF(ISERROR(MonthlyINPUT!I9/MonthlyINPUT!I12),"--",MonthlyINPUT!I9/MonthlyINPUT!I12)</f>
        <v>0.90787269681742044</v>
      </c>
      <c r="I10" s="23">
        <f>IF(ISERROR(MonthlyINPUT!J9/MonthlyINPUT!J12),"--",MonthlyINPUT!J9/MonthlyINPUT!J12)</f>
        <v>0.44464285714285712</v>
      </c>
      <c r="J10" s="23">
        <f>IF(ISERROR(MonthlyINPUT!K9/MonthlyINPUT!K12),"--",MonthlyINPUT!K9/MonthlyINPUT!K12)</f>
        <v>0.51792114695340496</v>
      </c>
      <c r="K10" s="23">
        <f>IF(ISERROR(MonthlyINPUT!L9/MonthlyINPUT!L12),"--",MonthlyINPUT!L9/MonthlyINPUT!L12)</f>
        <v>0.62782608695652176</v>
      </c>
      <c r="L10" s="23">
        <f>IF(ISERROR(MonthlyINPUT!M9/MonthlyINPUT!M12),"--",MonthlyINPUT!M9/MonthlyINPUT!M12)</f>
        <v>0</v>
      </c>
      <c r="M10" s="23" t="str">
        <f>IF(ISERROR(MonthlyINPUT!N9/MonthlyINPUT!N12),"--",MonthlyINPUT!N9/MonthlyINPUT!N12)</f>
        <v>--</v>
      </c>
    </row>
    <row r="11" spans="1:13" ht="15.75" x14ac:dyDescent="0.25">
      <c r="A11" s="192" t="s">
        <v>98</v>
      </c>
      <c r="B11" s="23">
        <f>IF(ISERROR(MonthlyINPUT!C11/MonthlyINPUT!C12),"--",MonthlyINPUT!C11/MonthlyINPUT!C12)</f>
        <v>0.24532663316582917</v>
      </c>
      <c r="C11" s="23">
        <f>IF(ISERROR(MonthlyINPUT!D11/MonthlyINPUT!D12),"--",MonthlyINPUT!D11/MonthlyINPUT!D12)</f>
        <v>0.23282828282828286</v>
      </c>
      <c r="D11" s="23">
        <f>IF(ISERROR(MonthlyINPUT!E11/MonthlyINPUT!E12),"--",MonthlyINPUT!E11/MonthlyINPUT!E12)</f>
        <v>0.28331641285956005</v>
      </c>
      <c r="E11" s="23">
        <f>IF(ISERROR(MonthlyINPUT!F11/MonthlyINPUT!F12),"--",MonthlyINPUT!F11/MonthlyINPUT!F12)</f>
        <v>0.33420880913539969</v>
      </c>
      <c r="F11" s="23">
        <f>IF(ISERROR(MonthlyINPUT!G11/MonthlyINPUT!G12),"--",MonthlyINPUT!G11/MonthlyINPUT!G12)</f>
        <v>0.23176562500000003</v>
      </c>
      <c r="G11" s="23">
        <f>IF(ISERROR(MonthlyINPUT!H11/MonthlyINPUT!H12),"--",MonthlyINPUT!H11/MonthlyINPUT!H12)</f>
        <v>7.8236272878535781E-2</v>
      </c>
      <c r="H11" s="23">
        <f>IF(ISERROR(MonthlyINPUT!I11/MonthlyINPUT!I12),"--",MonthlyINPUT!I11/MonthlyINPUT!I12)</f>
        <v>0</v>
      </c>
      <c r="I11" s="23">
        <f>IF(ISERROR(MonthlyINPUT!J11/MonthlyINPUT!J12),"--",MonthlyINPUT!J11/MonthlyINPUT!J12)</f>
        <v>0</v>
      </c>
      <c r="J11" s="23">
        <f>IF(ISERROR(MonthlyINPUT!K11/MonthlyINPUT!K12),"--",MonthlyINPUT!K11/MonthlyINPUT!K12)</f>
        <v>0</v>
      </c>
      <c r="K11" s="23">
        <f>IF(ISERROR(MonthlyINPUT!L11/MonthlyINPUT!L12),"--",MonthlyINPUT!L11/MonthlyINPUT!L12)</f>
        <v>0</v>
      </c>
      <c r="L11" s="23">
        <f>IF(ISERROR(MonthlyINPUT!M11/MonthlyINPUT!M12),"--",MonthlyINPUT!M11/MonthlyINPUT!M12)</f>
        <v>0</v>
      </c>
      <c r="M11" s="23" t="str">
        <f>IF(ISERROR(MonthlyINPUT!N11/MonthlyINPUT!N12),"--",MonthlyINPUT!N11/MonthlyINPUT!N12)</f>
        <v>--</v>
      </c>
    </row>
    <row r="12" spans="1:13" ht="15.75" x14ac:dyDescent="0.25">
      <c r="A12" s="192" t="s">
        <v>29</v>
      </c>
      <c r="B12" s="23">
        <f>IF(ISERROR(MonthlyINPUT!C11/MonthlyINPUT!C10),"--",MonthlyINPUT!C11/MonthlyINPUT!C10)</f>
        <v>0.41256338028169015</v>
      </c>
      <c r="C12" s="23">
        <f>IF(ISERROR(MonthlyINPUT!D11/MonthlyINPUT!D10),"--",MonthlyINPUT!D11/MonthlyINPUT!D10)</f>
        <v>0.47040816326530616</v>
      </c>
      <c r="D12" s="23">
        <f>IF(ISERROR(MonthlyINPUT!E11/MonthlyINPUT!E10),"--",MonthlyINPUT!E11/MonthlyINPUT!E10)</f>
        <v>0.38849187935034801</v>
      </c>
      <c r="E12" s="23">
        <f>IF(ISERROR(MonthlyINPUT!F11/MonthlyINPUT!F10),"--",MonthlyINPUT!F11/MonthlyINPUT!F10)</f>
        <v>0.5492493297587131</v>
      </c>
      <c r="F12" s="23">
        <f>IF(ISERROR(MonthlyINPUT!G11/MonthlyINPUT!G10),"--",MonthlyINPUT!G11/MonthlyINPUT!G10)</f>
        <v>0.38527272727272732</v>
      </c>
      <c r="G12" s="23">
        <f>IF(ISERROR(MonthlyINPUT!H11/MonthlyINPUT!H10),"--",MonthlyINPUT!H11/MonthlyINPUT!H10)</f>
        <v>9.9408033826638487E-2</v>
      </c>
      <c r="H12" s="23">
        <f>IF(ISERROR(MonthlyINPUT!I11/MonthlyINPUT!I10),"--",MonthlyINPUT!I11/MonthlyINPUT!I10)</f>
        <v>0</v>
      </c>
      <c r="I12" s="23">
        <f>IF(ISERROR(MonthlyINPUT!J11/MonthlyINPUT!J10),"--",MonthlyINPUT!J11/MonthlyINPUT!J10)</f>
        <v>0</v>
      </c>
      <c r="J12" s="23">
        <f>IF(ISERROR(MonthlyINPUT!K11/MonthlyINPUT!K10),"--",MonthlyINPUT!K11/MonthlyINPUT!K10)</f>
        <v>0</v>
      </c>
      <c r="K12" s="23">
        <f>IF(ISERROR(MonthlyINPUT!L11/MonthlyINPUT!L10),"--",MonthlyINPUT!L11/MonthlyINPUT!L10)</f>
        <v>0</v>
      </c>
      <c r="L12" s="23" t="str">
        <f>IF(ISERROR(MonthlyINPUT!M11/MonthlyINPUT!M10),"--",MonthlyINPUT!M11/MonthlyINPUT!M10)</f>
        <v>--</v>
      </c>
      <c r="M12" s="23" t="str">
        <f>IF(ISERROR(MonthlyINPUT!N11/MonthlyINPUT!N10),"--",MonthlyINPUT!N11/MonthlyINPUT!N10)</f>
        <v>--</v>
      </c>
    </row>
    <row r="13" spans="1:13" ht="15.75" x14ac:dyDescent="0.25">
      <c r="A13" s="192" t="s">
        <v>91</v>
      </c>
      <c r="B13" s="22">
        <f>IF(ISERROR(MonthlyINPUT!C11/(MonthlyINPUT!C35*167)),"--",MonthlyINPUT!C11/(MonthlyINPUT!C35*167))</f>
        <v>0.15945563418617312</v>
      </c>
      <c r="C13" s="22">
        <f>IF(ISERROR(MonthlyINPUT!D11/(MonthlyINPUT!D35*167)),"--",MonthlyINPUT!D11/(MonthlyINPUT!D35*167))</f>
        <v>0.15057158410451824</v>
      </c>
      <c r="D13" s="22">
        <f>IF(ISERROR(MonthlyINPUT!E11/(MonthlyINPUT!E35*167)),"--",MonthlyINPUT!E11/(MonthlyINPUT!E35*167))</f>
        <v>0.18229722373434948</v>
      </c>
      <c r="E13" s="22">
        <f>IF(ISERROR(MonthlyINPUT!F11/(MonthlyINPUT!F35*167)),"--",MonthlyINPUT!F11/(MonthlyINPUT!F35*167))</f>
        <v>0.22304844855743061</v>
      </c>
      <c r="F13" s="22">
        <f>IF(ISERROR(MonthlyINPUT!G11/(MonthlyINPUT!G35*167)),"--",MonthlyINPUT!G11/(MonthlyINPUT!G35*167))</f>
        <v>0.16149156232988571</v>
      </c>
      <c r="G13" s="22">
        <f>IF(ISERROR(MonthlyINPUT!H11/(MonthlyINPUT!H35*167)),"--",MonthlyINPUT!H11/(MonthlyINPUT!H35*167))</f>
        <v>5.1192161132280894E-2</v>
      </c>
      <c r="H13" s="22">
        <f>IF(ISERROR(MonthlyINPUT!I11/(MonthlyINPUT!I35*167)),"--",MonthlyINPUT!I11/(MonthlyINPUT!I35*167))</f>
        <v>0</v>
      </c>
      <c r="I13" s="22">
        <f>IF(ISERROR(MonthlyINPUT!J11/(MonthlyINPUT!J35*167)),"--",MonthlyINPUT!J11/(MonthlyINPUT!J35*167))</f>
        <v>0</v>
      </c>
      <c r="J13" s="22">
        <f>IF(ISERROR(MonthlyINPUT!K11/(MonthlyINPUT!K35*167)),"--",MonthlyINPUT!K11/(MonthlyINPUT!K35*167))</f>
        <v>0</v>
      </c>
      <c r="K13" s="22">
        <f>IF(ISERROR(MonthlyINPUT!L11/(MonthlyINPUT!L35*167)),"--",MonthlyINPUT!L11/(MonthlyINPUT!L35*167))</f>
        <v>0</v>
      </c>
      <c r="L13" s="22" t="str">
        <f>IF(ISERROR(MonthlyINPUT!M11/(MonthlyINPUT!M35*167)),"--",MonthlyINPUT!M11/(MonthlyINPUT!M35*167))</f>
        <v>--</v>
      </c>
      <c r="M13" s="22" t="str">
        <f>IF(ISERROR(MonthlyINPUT!N11/(MonthlyINPUT!N35*167)),"--",MonthlyINPUT!N11/(MonthlyINPUT!N35*167))</f>
        <v>--</v>
      </c>
    </row>
    <row r="14" spans="1:13" x14ac:dyDescent="0.25">
      <c r="A14" s="48" t="s">
        <v>3</v>
      </c>
      <c r="B14" s="49"/>
      <c r="C14" s="49"/>
      <c r="D14" s="49"/>
      <c r="E14" s="49"/>
      <c r="F14" s="49"/>
      <c r="G14" s="49"/>
      <c r="H14" s="49"/>
      <c r="I14" s="49"/>
      <c r="J14" s="49"/>
      <c r="K14" s="49"/>
      <c r="L14" s="49"/>
      <c r="M14" s="49"/>
    </row>
    <row r="15" spans="1:13" ht="15.75" x14ac:dyDescent="0.25">
      <c r="A15" s="196" t="s">
        <v>17</v>
      </c>
      <c r="B15" s="22">
        <f>IF(ISERROR(MonthlyINPUT!C31/MonthlyINPUT!C20),"--",MonthlyINPUT!C31/MonthlyINPUT!C20)</f>
        <v>9.7148290983200866E-2</v>
      </c>
      <c r="C15" s="22">
        <f>IF(ISERROR(MonthlyINPUT!D31/MonthlyINPUT!D20),"--",MonthlyINPUT!D31/MonthlyINPUT!D20)</f>
        <v>5.3392112935002782E-2</v>
      </c>
      <c r="D15" s="22">
        <f>IF(ISERROR(MonthlyINPUT!E31/MonthlyINPUT!E20),"--",MonthlyINPUT!E31/MonthlyINPUT!E20)</f>
        <v>0.16590585749527778</v>
      </c>
      <c r="E15" s="22">
        <f>IF(ISERROR(MonthlyINPUT!F31/MonthlyINPUT!F20),"--",MonthlyINPUT!F31/MonthlyINPUT!F20)</f>
        <v>0.1894179240936516</v>
      </c>
      <c r="F15" s="22">
        <f>IF(ISERROR(MonthlyINPUT!G31/MonthlyINPUT!G20),"--",MonthlyINPUT!G31/MonthlyINPUT!G20)</f>
        <v>0.13356529034419848</v>
      </c>
      <c r="G15" s="22">
        <f>IF(ISERROR(MonthlyINPUT!H31/MonthlyINPUT!H20),"--",MonthlyINPUT!H31/MonthlyINPUT!H20)</f>
        <v>-8.1373646521401312E-3</v>
      </c>
      <c r="H15" s="22">
        <f>IF(ISERROR(MonthlyINPUT!I31/MonthlyINPUT!I20),"--",MonthlyINPUT!I31/MonthlyINPUT!I20)</f>
        <v>0.1017151794774431</v>
      </c>
      <c r="I15" s="22">
        <f>IF(ISERROR(MonthlyINPUT!J31/MonthlyINPUT!J20),"--",MonthlyINPUT!J31/MonthlyINPUT!J20)</f>
        <v>9.1059110761554291E-2</v>
      </c>
      <c r="J15" s="22">
        <f>IF(ISERROR(MonthlyINPUT!K31/MonthlyINPUT!K20),"--",MonthlyINPUT!K31/MonthlyINPUT!K20)</f>
        <v>0.15210465036411353</v>
      </c>
      <c r="K15" s="22">
        <f>IF(ISERROR(MonthlyINPUT!L31/MonthlyINPUT!L20),"--",MonthlyINPUT!L31/MonthlyINPUT!L20)</f>
        <v>0.17389481487064076</v>
      </c>
      <c r="L15" s="22" t="str">
        <f>IF(ISERROR(MonthlyINPUT!M31/MonthlyINPUT!M20),"--",MonthlyINPUT!M31/MonthlyINPUT!M20)</f>
        <v>--</v>
      </c>
      <c r="M15" s="22" t="str">
        <f>IF(ISERROR(MonthlyINPUT!N31/MonthlyINPUT!N20),"--",MonthlyINPUT!N31/MonthlyINPUT!N20)</f>
        <v>--</v>
      </c>
    </row>
    <row r="16" spans="1:13" x14ac:dyDescent="0.25">
      <c r="A16" s="16"/>
      <c r="B16" s="13"/>
      <c r="C16" s="13"/>
      <c r="D16" s="13"/>
      <c r="E16" s="13"/>
      <c r="F16" s="13"/>
      <c r="G16" s="13"/>
      <c r="H16" s="13"/>
      <c r="I16" s="13"/>
      <c r="J16" s="13"/>
      <c r="K16" s="13"/>
      <c r="L16" s="13"/>
      <c r="M16" s="13"/>
    </row>
    <row r="17" spans="1:13" x14ac:dyDescent="0.25">
      <c r="A17" s="48" t="s">
        <v>0</v>
      </c>
      <c r="B17" s="75"/>
      <c r="C17" s="75"/>
      <c r="D17" s="75"/>
      <c r="E17" s="75"/>
      <c r="F17" s="75"/>
      <c r="G17" s="75"/>
      <c r="H17" s="75"/>
      <c r="I17" s="75"/>
      <c r="J17" s="75"/>
      <c r="K17" s="75"/>
      <c r="L17" s="75"/>
      <c r="M17" s="75"/>
    </row>
    <row r="18" spans="1:13" ht="15.75" x14ac:dyDescent="0.25">
      <c r="A18" s="196" t="s">
        <v>18</v>
      </c>
      <c r="B18" s="22">
        <f>IF(ISERROR(SUM(MonthlyINPUT!C15:C16)/MonthlyINPUT!C20),"--",SUM(MonthlyINPUT!C15:C16)/MonthlyINPUT!C20)</f>
        <v>0.7067796829414944</v>
      </c>
      <c r="C18" s="22">
        <f>IF(ISERROR(SUM(MonthlyINPUT!D15:D16)/MonthlyINPUT!D20),"--",SUM(MonthlyINPUT!D15:D16)/MonthlyINPUT!D20)</f>
        <v>0.64757350537035752</v>
      </c>
      <c r="D18" s="22">
        <f>IF(ISERROR(SUM(MonthlyINPUT!E15:E16)/MonthlyINPUT!E20),"--",SUM(MonthlyINPUT!E15:E16)/MonthlyINPUT!E20)</f>
        <v>0.75776201666528975</v>
      </c>
      <c r="E18" s="22">
        <f>IF(ISERROR(SUM(MonthlyINPUT!F15:F16)/MonthlyINPUT!F20),"--",SUM(MonthlyINPUT!F15:F16)/MonthlyINPUT!F20)</f>
        <v>0.74716125698047509</v>
      </c>
      <c r="F18" s="22">
        <f>IF(ISERROR(SUM(MonthlyINPUT!G15:G16)/MonthlyINPUT!G20),"--",SUM(MonthlyINPUT!G15:G16)/MonthlyINPUT!G20)</f>
        <v>0.72552406022433846</v>
      </c>
      <c r="G18" s="22">
        <f>IF(ISERROR(SUM(MonthlyINPUT!H15:H16)/MonthlyINPUT!H20),"--",SUM(MonthlyINPUT!H15:H16)/MonthlyINPUT!H20)</f>
        <v>0.79371938441848489</v>
      </c>
      <c r="H18" s="22">
        <f>IF(ISERROR(SUM(MonthlyINPUT!I15:I16)/MonthlyINPUT!I20),"--",SUM(MonthlyINPUT!I15:I16)/MonthlyINPUT!I20)</f>
        <v>0.76765867313367753</v>
      </c>
      <c r="I18" s="22">
        <f>IF(ISERROR(SUM(MonthlyINPUT!J15:J16)/MonthlyINPUT!J20),"--",SUM(MonthlyINPUT!J15:J16)/MonthlyINPUT!J20)</f>
        <v>0.77999591635954668</v>
      </c>
      <c r="J18" s="22">
        <f>IF(ISERROR(SUM(MonthlyINPUT!K15:K16)/MonthlyINPUT!K20),"--",SUM(MonthlyINPUT!K15:K16)/MonthlyINPUT!K20)</f>
        <v>0.59281082779452865</v>
      </c>
      <c r="K18" s="22">
        <f>IF(ISERROR(SUM(MonthlyINPUT!L15:L16)/MonthlyINPUT!L20),"--",SUM(MonthlyINPUT!L15:L16)/MonthlyINPUT!L20)</f>
        <v>0.72100044854194023</v>
      </c>
      <c r="L18" s="22" t="str">
        <f>IF(ISERROR(SUM(MonthlyINPUT!M15:M16)/MonthlyINPUT!M20),"--",SUM(MonthlyINPUT!M15:M16)/MonthlyINPUT!M20)</f>
        <v>--</v>
      </c>
      <c r="M18" s="22" t="str">
        <f>IF(ISERROR(SUM(MonthlyINPUT!N15:N16)/MonthlyINPUT!N20),"--",SUM(MonthlyINPUT!N15:N16)/MonthlyINPUT!N20)</f>
        <v>--</v>
      </c>
    </row>
    <row r="19" spans="1:13" ht="15.75" x14ac:dyDescent="0.25">
      <c r="A19" s="196" t="s">
        <v>19</v>
      </c>
      <c r="B19" s="22">
        <f>IF(ISERROR(MonthlyINPUT!C16/(MonthlyINPUT!C15+MonthlyINPUT!C16)),"--",MonthlyINPUT!C16/(MonthlyINPUT!C15+MonthlyINPUT!C16))</f>
        <v>1.0189871636090095</v>
      </c>
      <c r="C19" s="22">
        <f>IF(ISERROR(MonthlyINPUT!D16/(MonthlyINPUT!D15+MonthlyINPUT!D16)),"--",MonthlyINPUT!D16/(MonthlyINPUT!D15+MonthlyINPUT!D16))</f>
        <v>0.91021934604353605</v>
      </c>
      <c r="D19" s="22">
        <f>IF(ISERROR(MonthlyINPUT!E16/(MonthlyINPUT!E15+MonthlyINPUT!E16)),"--",MonthlyINPUT!E16/(MonthlyINPUT!E15+MonthlyINPUT!E16))</f>
        <v>0.82431033065446957</v>
      </c>
      <c r="E19" s="22">
        <f>IF(ISERROR(MonthlyINPUT!F16/(MonthlyINPUT!F15+MonthlyINPUT!F16)),"--",MonthlyINPUT!F16/(MonthlyINPUT!F15+MonthlyINPUT!F16))</f>
        <v>0.96614641854156658</v>
      </c>
      <c r="F19" s="22">
        <f>IF(ISERROR(MonthlyINPUT!G16/(MonthlyINPUT!G15+MonthlyINPUT!G16)),"--",MonthlyINPUT!G16/(MonthlyINPUT!G15+MonthlyINPUT!G16))</f>
        <v>0.97508718443766951</v>
      </c>
      <c r="G19" s="22">
        <f>IF(ISERROR(MonthlyINPUT!H16/(MonthlyINPUT!H15+MonthlyINPUT!H16)),"--",MonthlyINPUT!H16/(MonthlyINPUT!H15+MonthlyINPUT!H16))</f>
        <v>0.97920744792006453</v>
      </c>
      <c r="H19" s="22">
        <f>IF(ISERROR(MonthlyINPUT!I16/(MonthlyINPUT!I15+MonthlyINPUT!I16)),"--",MonthlyINPUT!I16/(MonthlyINPUT!I15+MonthlyINPUT!I16))</f>
        <v>0.96974745632411263</v>
      </c>
      <c r="I19" s="22">
        <f>IF(ISERROR(MonthlyINPUT!J16/(MonthlyINPUT!J15+MonthlyINPUT!J16)),"--",MonthlyINPUT!J16/(MonthlyINPUT!J15+MonthlyINPUT!J16))</f>
        <v>0.90925717668049255</v>
      </c>
      <c r="J19" s="22">
        <f>IF(ISERROR(MonthlyINPUT!K16/(MonthlyINPUT!K15+MonthlyINPUT!K16)),"--",MonthlyINPUT!K16/(MonthlyINPUT!K15+MonthlyINPUT!K16))</f>
        <v>0.88506757215449994</v>
      </c>
      <c r="K19" s="22">
        <f>IF(ISERROR(MonthlyINPUT!L16/(MonthlyINPUT!L15+MonthlyINPUT!L16)),"--",MonthlyINPUT!L16/(MonthlyINPUT!L15+MonthlyINPUT!L16))</f>
        <v>0.83704659521719804</v>
      </c>
      <c r="L19" s="22" t="str">
        <f>IF(ISERROR(MonthlyINPUT!M16/(MonthlyINPUT!M15+MonthlyINPUT!M16)),"--",MonthlyINPUT!M16/(MonthlyINPUT!M15+MonthlyINPUT!M16))</f>
        <v>--</v>
      </c>
      <c r="M19" s="22" t="str">
        <f>IF(ISERROR(MonthlyINPUT!N16/(MonthlyINPUT!N15+MonthlyINPUT!N16)),"--",MonthlyINPUT!N16/(MonthlyINPUT!N15+MonthlyINPUT!N16))</f>
        <v>--</v>
      </c>
    </row>
    <row r="20" spans="1:13" x14ac:dyDescent="0.25">
      <c r="A20" s="16"/>
      <c r="B20" s="13"/>
      <c r="C20" s="13"/>
      <c r="D20" s="13"/>
      <c r="E20" s="13"/>
      <c r="F20" s="13"/>
      <c r="G20" s="13"/>
      <c r="H20" s="13"/>
      <c r="I20" s="13"/>
      <c r="J20" s="13"/>
      <c r="K20" s="13"/>
      <c r="L20" s="13"/>
      <c r="M20" s="13"/>
    </row>
    <row r="21" spans="1:13" x14ac:dyDescent="0.25">
      <c r="A21" s="48" t="s">
        <v>20</v>
      </c>
      <c r="B21" s="75"/>
      <c r="C21" s="75"/>
      <c r="D21" s="75"/>
      <c r="E21" s="75"/>
      <c r="F21" s="75"/>
      <c r="G21" s="75"/>
      <c r="H21" s="75"/>
      <c r="I21" s="75"/>
      <c r="J21" s="75"/>
      <c r="K21" s="75"/>
      <c r="L21" s="75"/>
      <c r="M21" s="75"/>
    </row>
    <row r="22" spans="1:13" ht="15.75" x14ac:dyDescent="0.25">
      <c r="A22" s="196" t="s">
        <v>92</v>
      </c>
      <c r="B22" s="183">
        <f>IF(ISERROR(SUM(MonthlyINPUT!C$15:C$17)/MonthlyINPUT!C$34*12),"--",SUM(MonthlyINPUT!C$15:C$17)/MonthlyINPUT!C$34*12)</f>
        <v>191743.44</v>
      </c>
      <c r="C22" s="183">
        <f>IF(ISERROR(SUM(MonthlyINPUT!D$15:D$17)/MonthlyINPUT!D$34*12),"--",SUM(MonthlyINPUT!D$15:D$17)/MonthlyINPUT!D$34*12)</f>
        <v>260381.18117647059</v>
      </c>
      <c r="D22" s="183">
        <f>IF(ISERROR(SUM(MonthlyINPUT!E$15:E$17)/MonthlyINPUT!E$34*12),"--",SUM(MonthlyINPUT!E$15:E$17)/MonthlyINPUT!E$34*12)</f>
        <v>210329.26588235292</v>
      </c>
      <c r="E22" s="183">
        <f>IF(ISERROR(SUM(MonthlyINPUT!F$15:F$17)/MonthlyINPUT!F$34*12),"--",SUM(MonthlyINPUT!F$15:F$17)/MonthlyINPUT!F$34*12)</f>
        <v>207313.34117647063</v>
      </c>
      <c r="F22" s="183">
        <f>IF(ISERROR(SUM(MonthlyINPUT!G$15:G$17)/MonthlyINPUT!G$34*12),"--",SUM(MonthlyINPUT!G$15:G$17)/MonthlyINPUT!G$34*12)</f>
        <v>221647.97647058824</v>
      </c>
      <c r="G22" s="183">
        <f>IF(ISERROR(SUM(MonthlyINPUT!H$15:H$17)/MonthlyINPUT!H$34*12),"--",SUM(MonthlyINPUT!H$15:H$17)/MonthlyINPUT!H$34*12)</f>
        <v>185208.66352941177</v>
      </c>
      <c r="H22" s="183">
        <f>IF(ISERROR(SUM(MonthlyINPUT!I$15:I$17)/MonthlyINPUT!I$34*12),"--",SUM(MonthlyINPUT!I$15:I$17)/MonthlyINPUT!I$34*12)</f>
        <v>193322.4705882353</v>
      </c>
      <c r="I22" s="183">
        <f>IF(ISERROR(SUM(MonthlyINPUT!J$15:J$17)/MonthlyINPUT!J$34*12),"--",SUM(MonthlyINPUT!J$15:J$17)/MonthlyINPUT!J$34*12)</f>
        <v>194588.24470588239</v>
      </c>
      <c r="J22" s="183">
        <f>IF(ISERROR(SUM(MonthlyINPUT!K$15:K$17)/MonthlyINPUT!K$34*12),"--",SUM(MonthlyINPUT!K$15:K$17)/MonthlyINPUT!K$34*12)</f>
        <v>221179.84000000003</v>
      </c>
      <c r="K22" s="183">
        <f>IF(ISERROR(SUM(MonthlyINPUT!L$15:L$17)/MonthlyINPUT!L$34*12),"--",SUM(MonthlyINPUT!L$15:L$17)/MonthlyINPUT!L$34*12)</f>
        <v>201653.54823529412</v>
      </c>
      <c r="L22" s="183" t="str">
        <f>IF(ISERROR(SUM(MonthlyINPUT!M$15:M$17)/MonthlyINPUT!M$34*12),"--",SUM(MonthlyINPUT!M$15:M$17)/MonthlyINPUT!M$34*12)</f>
        <v>--</v>
      </c>
      <c r="M22" s="183" t="str">
        <f>IF(ISERROR(SUM(MonthlyINPUT!N$15:N$17)/MonthlyINPUT!N$34*12),"--",SUM(MonthlyINPUT!N$15:N$17)/MonthlyINPUT!N$34*12)</f>
        <v>--</v>
      </c>
    </row>
    <row r="23" spans="1:13" ht="15.75" x14ac:dyDescent="0.25">
      <c r="A23" s="196" t="s">
        <v>93</v>
      </c>
      <c r="B23" s="183">
        <f>IF(ISERROR(SUM(MonthlyINPUT!C$15:C$17)/MonthlyINPUT!C$35*12),"--",SUM(MonthlyINPUT!C$15:C$17)/MonthlyINPUT!C$35*12)</f>
        <v>296330.77090909088</v>
      </c>
      <c r="C23" s="183">
        <f>IF(ISERROR(SUM(MonthlyINPUT!D$15:D$17)/MonthlyINPUT!D$35*12),"--",SUM(MonthlyINPUT!D$15:D$17)/MonthlyINPUT!D$35*12)</f>
        <v>402407.27999999991</v>
      </c>
      <c r="D23" s="183">
        <f>IF(ISERROR(SUM(MonthlyINPUT!E$15:E$17)/MonthlyINPUT!E$35*12),"--",SUM(MonthlyINPUT!E$15:E$17)/MonthlyINPUT!E$35*12)</f>
        <v>325054.31999999995</v>
      </c>
      <c r="E23" s="183">
        <f>IF(ISERROR(SUM(MonthlyINPUT!F$15:F$17)/MonthlyINPUT!F$35*12),"--",SUM(MonthlyINPUT!F$15:F$17)/MonthlyINPUT!F$35*12)</f>
        <v>320393.34545454546</v>
      </c>
      <c r="F23" s="183">
        <f>IF(ISERROR(SUM(MonthlyINPUT!G$15:G$17)/MonthlyINPUT!G$35*12),"--",SUM(MonthlyINPUT!G$15:G$17)/MonthlyINPUT!G$35*12)</f>
        <v>342546.8727272728</v>
      </c>
      <c r="G23" s="183">
        <f>IF(ISERROR(SUM(MonthlyINPUT!H$15:H$17)/MonthlyINPUT!H$35*12),"--",SUM(MonthlyINPUT!H$15:H$17)/MonthlyINPUT!H$35*12)</f>
        <v>286231.57090909092</v>
      </c>
      <c r="H23" s="183">
        <f>IF(ISERROR(SUM(MonthlyINPUT!I$15:I$17)/MonthlyINPUT!I$35*12),"--",SUM(MonthlyINPUT!I$15:I$17)/MonthlyINPUT!I$35*12)</f>
        <v>298771.09090909088</v>
      </c>
      <c r="I23" s="183">
        <f>IF(ISERROR(SUM(MonthlyINPUT!J$15:J$17)/MonthlyINPUT!J$35*12),"--",SUM(MonthlyINPUT!J$15:J$17)/MonthlyINPUT!J$35*12)</f>
        <v>300727.28727272735</v>
      </c>
      <c r="J23" s="183">
        <f>IF(ISERROR(SUM(MonthlyINPUT!K$15:K$17)/MonthlyINPUT!K$35*12),"--",SUM(MonthlyINPUT!K$15:K$17)/MonthlyINPUT!K$35*12)</f>
        <v>368633.06666666671</v>
      </c>
      <c r="K23" s="183">
        <f>IF(ISERROR(SUM(MonthlyINPUT!L$15:L$17)/MonthlyINPUT!L$35*12),"--",SUM(MonthlyINPUT!L$15:L$17)/MonthlyINPUT!L$35*12)</f>
        <v>311646.3927272727</v>
      </c>
      <c r="L23" s="183" t="str">
        <f>IF(ISERROR(SUM(MonthlyINPUT!M$15:M$17)/MonthlyINPUT!M$35*12),"--",SUM(MonthlyINPUT!M$15:M$17)/MonthlyINPUT!M$35*12)</f>
        <v>--</v>
      </c>
      <c r="M23" s="183" t="str">
        <f>IF(ISERROR(SUM(MonthlyINPUT!N$15:N$17)/MonthlyINPUT!N$35*12),"--",SUM(MonthlyINPUT!N$15:N$17)/MonthlyINPUT!N$35*12)</f>
        <v>--</v>
      </c>
    </row>
    <row r="24" spans="1:13" ht="15.75" x14ac:dyDescent="0.25">
      <c r="A24" s="196" t="s">
        <v>21</v>
      </c>
      <c r="B24" s="183">
        <f>IF(ISERROR(MonthlyINPUT!C16/MonthlyINPUT!C36),"--",MonthlyINPUT!C16/MonthlyINPUT!C36)</f>
        <v>200.88326007326006</v>
      </c>
      <c r="C24" s="183">
        <f>IF(ISERROR(MonthlyINPUT!D16/MonthlyINPUT!D36),"--",MonthlyINPUT!D16/MonthlyINPUT!D36)</f>
        <v>203.08366482504601</v>
      </c>
      <c r="D24" s="183">
        <f>IF(ISERROR(MonthlyINPUT!E16/MonthlyINPUT!E36),"--",MonthlyINPUT!E16/MonthlyINPUT!E36)</f>
        <v>202.95732472324721</v>
      </c>
      <c r="E24" s="183">
        <f>IF(ISERROR(MonthlyINPUT!F16/MonthlyINPUT!F36),"--",MonthlyINPUT!F16/MonthlyINPUT!F36)</f>
        <v>201.32170212765959</v>
      </c>
      <c r="F24" s="183">
        <f>IF(ISERROR(MonthlyINPUT!G16/MonthlyINPUT!G36),"--",MonthlyINPUT!G16/MonthlyINPUT!G36)</f>
        <v>200.01535042735046</v>
      </c>
      <c r="G24" s="183">
        <f>IF(ISERROR(MonthlyINPUT!H16/MonthlyINPUT!H36),"--",MonthlyINPUT!H16/MonthlyINPUT!H36)</f>
        <v>203.76123411978222</v>
      </c>
      <c r="H24" s="183">
        <f>IF(ISERROR(MonthlyINPUT!I16/MonthlyINPUT!I36),"--",MonthlyINPUT!I16/MonthlyINPUT!I36)</f>
        <v>208.06549270072992</v>
      </c>
      <c r="I24" s="183">
        <f>IF(ISERROR(MonthlyINPUT!J16/MonthlyINPUT!J36),"--",MonthlyINPUT!J16/MonthlyINPUT!J36)</f>
        <v>210.31050880626225</v>
      </c>
      <c r="J24" s="183">
        <f>IF(ISERROR(MonthlyINPUT!K16/MonthlyINPUT!K36),"--",MonthlyINPUT!K16/MonthlyINPUT!K36)</f>
        <v>208.75275049115916</v>
      </c>
      <c r="K24" s="183" t="str">
        <f>IF(ISERROR(MonthlyINPUT!L16/MonthlyINPUT!L36),"--",MonthlyINPUT!L16/MonthlyINPUT!L36)</f>
        <v>--</v>
      </c>
      <c r="L24" s="183" t="str">
        <f>IF(ISERROR(MonthlyINPUT!M16/MonthlyINPUT!M36),"--",MonthlyINPUT!M16/MonthlyINPUT!M36)</f>
        <v>--</v>
      </c>
      <c r="M24" s="183" t="str">
        <f>IF(ISERROR(MonthlyINPUT!N16/MonthlyINPUT!N36),"--",MonthlyINPUT!N16/MonthlyINPUT!N36)</f>
        <v>--</v>
      </c>
    </row>
    <row r="25" spans="1:13" ht="15.75" x14ac:dyDescent="0.25">
      <c r="A25" s="196" t="s">
        <v>22</v>
      </c>
      <c r="B25" s="183">
        <f>IF(ISERROR(MonthlyINPUT!C16/MonthlyINPUT!C37),"--",MonthlyINPUT!C16/MonthlyINPUT!C37)</f>
        <v>2964.3854054054054</v>
      </c>
      <c r="C25" s="183">
        <f>IF(ISERROR(MonthlyINPUT!D16/MonthlyINPUT!D37),"--",MonthlyINPUT!D16/MonthlyINPUT!D37)</f>
        <v>3063.178611111111</v>
      </c>
      <c r="D25" s="183">
        <f>IF(ISERROR(MonthlyINPUT!E16/MonthlyINPUT!E37),"--",MonthlyINPUT!E16/MonthlyINPUT!E37)</f>
        <v>3055.6352777777774</v>
      </c>
      <c r="E25" s="183">
        <f>IF(ISERROR(MonthlyINPUT!F16/MonthlyINPUT!F37),"--",MonthlyINPUT!F16/MonthlyINPUT!F37)</f>
        <v>3068.7956756756757</v>
      </c>
      <c r="F25" s="183">
        <f>IF(ISERROR(MonthlyINPUT!G16/MonthlyINPUT!G37),"--",MonthlyINPUT!G16/MonthlyINPUT!G37)</f>
        <v>3079.1836842105267</v>
      </c>
      <c r="G25" s="183">
        <f>IF(ISERROR(MonthlyINPUT!H16/MonthlyINPUT!H37),"--",MonthlyINPUT!H16/MonthlyINPUT!H37)</f>
        <v>2954.5378947368422</v>
      </c>
      <c r="H25" s="183">
        <f>IF(ISERROR(MonthlyINPUT!I16/MonthlyINPUT!I37),"--",MonthlyINPUT!I16/MonthlyINPUT!I37)</f>
        <v>3000.5234210526314</v>
      </c>
      <c r="I25" s="183">
        <f>IF(ISERROR(MonthlyINPUT!J16/MonthlyINPUT!J37),"--",MonthlyINPUT!J16/MonthlyINPUT!J37)</f>
        <v>2828.1228947368422</v>
      </c>
      <c r="J25" s="183">
        <f>IF(ISERROR(MonthlyINPUT!K16/MonthlyINPUT!K37),"--",MonthlyINPUT!K16/MonthlyINPUT!K37)</f>
        <v>2871.7608108108111</v>
      </c>
      <c r="K25" s="183" t="str">
        <f>IF(ISERROR(MonthlyINPUT!L16/MonthlyINPUT!L37),"--",MonthlyINPUT!L16/MonthlyINPUT!L37)</f>
        <v>--</v>
      </c>
      <c r="L25" s="183" t="str">
        <f>IF(ISERROR(MonthlyINPUT!M16/MonthlyINPUT!M37),"--",MonthlyINPUT!M16/MonthlyINPUT!M37)</f>
        <v>--</v>
      </c>
      <c r="M25" s="183" t="str">
        <f>IF(ISERROR(MonthlyINPUT!N16/MonthlyINPUT!N37),"--",MonthlyINPUT!N16/MonthlyINPUT!N37)</f>
        <v>--</v>
      </c>
    </row>
    <row r="26" spans="1:13" x14ac:dyDescent="0.25">
      <c r="A26" s="16"/>
      <c r="B26" s="13"/>
      <c r="C26" s="13"/>
      <c r="D26" s="13"/>
      <c r="E26" s="13"/>
      <c r="F26" s="13"/>
      <c r="G26" s="13"/>
      <c r="H26" s="13"/>
      <c r="I26" s="13"/>
      <c r="J26" s="13"/>
      <c r="K26" s="13"/>
      <c r="L26" s="13"/>
      <c r="M26" s="13"/>
    </row>
    <row r="27" spans="1:13" x14ac:dyDescent="0.25">
      <c r="A27" s="48" t="s">
        <v>4</v>
      </c>
      <c r="B27" s="75"/>
      <c r="C27" s="75"/>
      <c r="D27" s="75"/>
      <c r="E27" s="75"/>
      <c r="F27" s="75"/>
      <c r="G27" s="75"/>
      <c r="H27" s="75"/>
      <c r="I27" s="75"/>
      <c r="J27" s="75"/>
      <c r="K27" s="75"/>
      <c r="L27" s="75"/>
      <c r="M27" s="75"/>
    </row>
    <row r="28" spans="1:13" ht="15.75" x14ac:dyDescent="0.25">
      <c r="A28" s="196" t="s">
        <v>23</v>
      </c>
      <c r="B28" s="24">
        <f>+MonthlyINPUT!C44</f>
        <v>0</v>
      </c>
      <c r="C28" s="24">
        <f>+MonthlyINPUT!D44</f>
        <v>0</v>
      </c>
      <c r="D28" s="24">
        <f>+MonthlyINPUT!E44</f>
        <v>0</v>
      </c>
      <c r="E28" s="24">
        <f>+MonthlyINPUT!F44</f>
        <v>813</v>
      </c>
      <c r="F28" s="24">
        <f>+MonthlyINPUT!G44</f>
        <v>2089</v>
      </c>
      <c r="G28" s="24">
        <f>+MonthlyINPUT!H44</f>
        <v>0</v>
      </c>
      <c r="H28" s="24">
        <f>+MonthlyINPUT!I44</f>
        <v>0</v>
      </c>
      <c r="I28" s="24">
        <f>+MonthlyINPUT!J44</f>
        <v>1605</v>
      </c>
      <c r="J28" s="24">
        <f>+MonthlyINPUT!K44</f>
        <v>866</v>
      </c>
      <c r="K28" s="24">
        <f>+MonthlyINPUT!L44</f>
        <v>0</v>
      </c>
      <c r="L28" s="24">
        <f>+MonthlyINPUT!M44</f>
        <v>0</v>
      </c>
      <c r="M28" s="24">
        <f>+MonthlyINPUT!N44</f>
        <v>0</v>
      </c>
    </row>
    <row r="29" spans="1:13" ht="15.75" x14ac:dyDescent="0.25">
      <c r="A29" s="196" t="s">
        <v>24</v>
      </c>
      <c r="B29" s="24">
        <f>+MonthlyINPUT!C45</f>
        <v>0</v>
      </c>
      <c r="C29" s="24">
        <f>+MonthlyINPUT!D45</f>
        <v>182.4</v>
      </c>
      <c r="D29" s="24">
        <f>+MonthlyINPUT!E45</f>
        <v>0</v>
      </c>
      <c r="E29" s="24">
        <f>+MonthlyINPUT!F45</f>
        <v>0</v>
      </c>
      <c r="F29" s="24">
        <f>+MonthlyINPUT!G45</f>
        <v>2354</v>
      </c>
      <c r="G29" s="24">
        <f>+MonthlyINPUT!H45</f>
        <v>0</v>
      </c>
      <c r="H29" s="24">
        <f>+MonthlyINPUT!I45</f>
        <v>0</v>
      </c>
      <c r="I29" s="24">
        <f>+MonthlyINPUT!J45</f>
        <v>11627</v>
      </c>
      <c r="J29" s="24">
        <f>+MonthlyINPUT!K45</f>
        <v>831.08</v>
      </c>
      <c r="K29" s="24">
        <f>+MonthlyINPUT!L45</f>
        <v>0</v>
      </c>
      <c r="L29" s="24">
        <f>+MonthlyINPUT!M45</f>
        <v>0</v>
      </c>
      <c r="M29" s="24">
        <f>+MonthlyINPUT!N45</f>
        <v>0</v>
      </c>
    </row>
    <row r="30" spans="1:13" ht="15.75" x14ac:dyDescent="0.25">
      <c r="A30" s="196" t="s">
        <v>25</v>
      </c>
      <c r="B30" s="24">
        <f>B28-B29</f>
        <v>0</v>
      </c>
      <c r="C30" s="24">
        <f t="shared" ref="C30:M30" si="0">C28-C29</f>
        <v>-182.4</v>
      </c>
      <c r="D30" s="24">
        <f t="shared" si="0"/>
        <v>0</v>
      </c>
      <c r="E30" s="24">
        <f t="shared" si="0"/>
        <v>813</v>
      </c>
      <c r="F30" s="24">
        <f t="shared" si="0"/>
        <v>-265</v>
      </c>
      <c r="G30" s="24">
        <f t="shared" si="0"/>
        <v>0</v>
      </c>
      <c r="H30" s="24">
        <f t="shared" si="0"/>
        <v>0</v>
      </c>
      <c r="I30" s="24">
        <f t="shared" si="0"/>
        <v>-10022</v>
      </c>
      <c r="J30" s="24">
        <f t="shared" si="0"/>
        <v>34.919999999999959</v>
      </c>
      <c r="K30" s="24">
        <f t="shared" si="0"/>
        <v>0</v>
      </c>
      <c r="L30" s="24">
        <f t="shared" si="0"/>
        <v>0</v>
      </c>
      <c r="M30" s="24">
        <f t="shared" si="0"/>
        <v>0</v>
      </c>
    </row>
    <row r="31" spans="1:13" ht="15.75" x14ac:dyDescent="0.25">
      <c r="A31" s="196" t="s">
        <v>31</v>
      </c>
      <c r="B31" s="138" t="str">
        <f>IF(ISERROR(MonthlyINPUT!C40/MonthlyINPUT!C41),"--",MonthlyINPUT!C40/MonthlyINPUT!C41)</f>
        <v>--</v>
      </c>
      <c r="C31" s="138" t="str">
        <f>IF(ISERROR(MonthlyINPUT!D40/MonthlyINPUT!D41),"--",MonthlyINPUT!D40/MonthlyINPUT!D41)</f>
        <v>--</v>
      </c>
      <c r="D31" s="138" t="str">
        <f>IF(ISERROR(MonthlyINPUT!E40/MonthlyINPUT!E41),"--",MonthlyINPUT!E40/MonthlyINPUT!E41)</f>
        <v>--</v>
      </c>
      <c r="E31" s="138" t="str">
        <f>IF(ISERROR(MonthlyINPUT!F40/MonthlyINPUT!F41),"--",MonthlyINPUT!F40/MonthlyINPUT!F41)</f>
        <v>--</v>
      </c>
      <c r="F31" s="138">
        <f>IF(ISERROR(MonthlyINPUT!G40/MonthlyINPUT!G41),"--",MonthlyINPUT!G40/MonthlyINPUT!G41)</f>
        <v>0</v>
      </c>
      <c r="G31" s="138">
        <f>IF(ISERROR(MonthlyINPUT!H40/MonthlyINPUT!H41),"--",MonthlyINPUT!H40/MonthlyINPUT!H41)</f>
        <v>0</v>
      </c>
      <c r="H31" s="138" t="str">
        <f>IF(ISERROR(MonthlyINPUT!I40/MonthlyINPUT!I41),"--",MonthlyINPUT!I40/MonthlyINPUT!I41)</f>
        <v>--</v>
      </c>
      <c r="I31" s="138">
        <f>IF(ISERROR(MonthlyINPUT!J40/MonthlyINPUT!J41),"--",MonthlyINPUT!J40/MonthlyINPUT!J41)</f>
        <v>0</v>
      </c>
      <c r="J31" s="138">
        <f>IF(ISERROR(MonthlyINPUT!K40/MonthlyINPUT!K41),"--",MonthlyINPUT!K40/MonthlyINPUT!K41)</f>
        <v>0</v>
      </c>
      <c r="K31" s="138">
        <f>IF(ISERROR(MonthlyINPUT!L40/MonthlyINPUT!L41),"--",MonthlyINPUT!L40/MonthlyINPUT!L41)</f>
        <v>0</v>
      </c>
      <c r="L31" s="138" t="str">
        <f>IF(ISERROR(MonthlyINPUT!M40/MonthlyINPUT!M41),"--",MonthlyINPUT!M40/MonthlyINPUT!M41)</f>
        <v>--</v>
      </c>
      <c r="M31" s="138" t="str">
        <f>IF(ISERROR(MonthlyINPUT!N40/MonthlyINPUT!N41),"--",MonthlyINPUT!N40/MonthlyINPUT!N41)</f>
        <v>--</v>
      </c>
    </row>
    <row r="32" spans="1:13" ht="15.75" x14ac:dyDescent="0.25">
      <c r="A32" s="196" t="s">
        <v>32</v>
      </c>
      <c r="B32" s="138">
        <f>+MonthlyINPUT!C41</f>
        <v>0</v>
      </c>
      <c r="C32" s="138">
        <f>+MonthlyINPUT!D41</f>
        <v>0</v>
      </c>
      <c r="D32" s="138">
        <f>+MonthlyINPUT!E41</f>
        <v>0</v>
      </c>
      <c r="E32" s="138">
        <f>+MonthlyINPUT!F41</f>
        <v>0</v>
      </c>
      <c r="F32" s="138">
        <f>+MonthlyINPUT!G41</f>
        <v>2</v>
      </c>
      <c r="G32" s="138">
        <f>+MonthlyINPUT!H41</f>
        <v>1</v>
      </c>
      <c r="H32" s="138">
        <f>+MonthlyINPUT!I41</f>
        <v>0</v>
      </c>
      <c r="I32" s="138">
        <f>+MonthlyINPUT!J41</f>
        <v>2</v>
      </c>
      <c r="J32" s="138">
        <f>+MonthlyINPUT!K41</f>
        <v>2</v>
      </c>
      <c r="K32" s="138">
        <f>+MonthlyINPUT!L41</f>
        <v>3</v>
      </c>
      <c r="L32" s="138">
        <f>+MonthlyINPUT!M41</f>
        <v>0</v>
      </c>
      <c r="M32" s="138">
        <f>+MonthlyINPUT!N41</f>
        <v>0</v>
      </c>
    </row>
    <row r="33" spans="1:13" ht="15.75" x14ac:dyDescent="0.25">
      <c r="A33" s="196" t="s">
        <v>33</v>
      </c>
      <c r="B33" s="25" t="str">
        <f>IF(ISERROR(MonthlyINPUT!C43/MonthlyINPUT!C41),"--",MonthlyINPUT!C43/MonthlyINPUT!C41)</f>
        <v>--</v>
      </c>
      <c r="C33" s="25" t="str">
        <f>IF(ISERROR(MonthlyINPUT!D43/MonthlyINPUT!D41),"--",MonthlyINPUT!D43/MonthlyINPUT!D41)</f>
        <v>--</v>
      </c>
      <c r="D33" s="25" t="str">
        <f>IF(ISERROR(MonthlyINPUT!E43/MonthlyINPUT!E41),"--",MonthlyINPUT!E43/MonthlyINPUT!E41)</f>
        <v>--</v>
      </c>
      <c r="E33" s="25" t="str">
        <f>IF(ISERROR(MonthlyINPUT!F43/MonthlyINPUT!F41),"--",MonthlyINPUT!F43/MonthlyINPUT!F41)</f>
        <v>--</v>
      </c>
      <c r="F33" s="25">
        <f>IF(ISERROR(MonthlyINPUT!G43/MonthlyINPUT!G41),"--",MonthlyINPUT!G43/MonthlyINPUT!G41)</f>
        <v>1</v>
      </c>
      <c r="G33" s="25">
        <f>IF(ISERROR(MonthlyINPUT!H43/MonthlyINPUT!H41),"--",MonthlyINPUT!H43/MonthlyINPUT!H41)</f>
        <v>0</v>
      </c>
      <c r="H33" s="25" t="str">
        <f>IF(ISERROR(MonthlyINPUT!I43/MonthlyINPUT!I41),"--",MonthlyINPUT!I43/MonthlyINPUT!I41)</f>
        <v>--</v>
      </c>
      <c r="I33" s="25">
        <f>IF(ISERROR(MonthlyINPUT!J43/MonthlyINPUT!J41),"--",MonthlyINPUT!J43/MonthlyINPUT!J41)</f>
        <v>0.5</v>
      </c>
      <c r="J33" s="25">
        <f>IF(ISERROR(MonthlyINPUT!K43/MonthlyINPUT!K41),"--",MonthlyINPUT!K43/MonthlyINPUT!K41)</f>
        <v>0.5</v>
      </c>
      <c r="K33" s="25">
        <f>IF(ISERROR(MonthlyINPUT!L43/MonthlyINPUT!L41),"--",MonthlyINPUT!L43/MonthlyINPUT!L41)</f>
        <v>0</v>
      </c>
      <c r="L33" s="25" t="str">
        <f>IF(ISERROR(MonthlyINPUT!M43/MonthlyINPUT!M41),"--",MonthlyINPUT!M43/MonthlyINPUT!M41)</f>
        <v>--</v>
      </c>
      <c r="M33" s="25" t="str">
        <f>IF(ISERROR(MonthlyINPUT!N43/MonthlyINPUT!N41),"--",MonthlyINPUT!N43/MonthlyINPUT!N41)</f>
        <v>--</v>
      </c>
    </row>
    <row r="34" spans="1:13" ht="15.75" thickBot="1" x14ac:dyDescent="0.3">
      <c r="A34" s="18"/>
      <c r="B34" s="19"/>
      <c r="C34" s="19"/>
      <c r="D34" s="19"/>
      <c r="E34" s="19"/>
      <c r="F34" s="19"/>
      <c r="G34" s="19"/>
      <c r="H34" s="19"/>
      <c r="I34" s="19"/>
      <c r="J34" s="19"/>
      <c r="K34" s="19"/>
      <c r="L34" s="19"/>
      <c r="M34" s="19"/>
    </row>
    <row r="35" spans="1:13" x14ac:dyDescent="0.25">
      <c r="C35"/>
      <c r="D35"/>
      <c r="E35"/>
    </row>
    <row r="36" spans="1:13" x14ac:dyDescent="0.25">
      <c r="C36"/>
      <c r="D36"/>
      <c r="E36"/>
    </row>
    <row r="37" spans="1:13" x14ac:dyDescent="0.25">
      <c r="C37"/>
      <c r="D37"/>
      <c r="E37"/>
    </row>
    <row r="38" spans="1:13" x14ac:dyDescent="0.25">
      <c r="C38"/>
      <c r="D38"/>
      <c r="E38"/>
    </row>
    <row r="39" spans="1:13" x14ac:dyDescent="0.25">
      <c r="C39"/>
      <c r="D39"/>
      <c r="E39"/>
    </row>
    <row r="40" spans="1:13" x14ac:dyDescent="0.25">
      <c r="C40"/>
      <c r="D40"/>
      <c r="E40"/>
    </row>
    <row r="41" spans="1:13" x14ac:dyDescent="0.25">
      <c r="C41"/>
      <c r="D41"/>
      <c r="E41"/>
    </row>
    <row r="42" spans="1:13" x14ac:dyDescent="0.25">
      <c r="C42"/>
      <c r="D42"/>
      <c r="E42"/>
    </row>
    <row r="43" spans="1:13" x14ac:dyDescent="0.25">
      <c r="C43"/>
      <c r="D43"/>
      <c r="E43"/>
    </row>
    <row r="44" spans="1:13" x14ac:dyDescent="0.25">
      <c r="C44"/>
      <c r="D44"/>
      <c r="E44"/>
    </row>
    <row r="45" spans="1:13" x14ac:dyDescent="0.25">
      <c r="C45"/>
      <c r="D45"/>
      <c r="E45"/>
    </row>
    <row r="46" spans="1:13" x14ac:dyDescent="0.25">
      <c r="C46"/>
      <c r="D46"/>
      <c r="E46"/>
    </row>
    <row r="47" spans="1:13" x14ac:dyDescent="0.25">
      <c r="C47"/>
      <c r="D47"/>
      <c r="E47"/>
    </row>
    <row r="48" spans="1:13" x14ac:dyDescent="0.25">
      <c r="C48"/>
      <c r="D48"/>
      <c r="E48"/>
    </row>
  </sheetData>
  <mergeCells count="2">
    <mergeCell ref="A4:M4"/>
    <mergeCell ref="A2:M2"/>
  </mergeCells>
  <conditionalFormatting sqref="B15:M15">
    <cfRule type="cellIs" dxfId="0" priority="1" stopIfTrue="1" operator="lessThan">
      <formula>0.05</formula>
    </cfRule>
  </conditionalFormatting>
  <printOptions horizontalCentered="1"/>
  <pageMargins left="0.7" right="0.7" top="0.75" bottom="0.75" header="0.3" footer="0.3"/>
  <pageSetup scale="70"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1:M66"/>
  <sheetViews>
    <sheetView workbookViewId="0">
      <selection activeCell="J16" sqref="J16"/>
    </sheetView>
  </sheetViews>
  <sheetFormatPr defaultRowHeight="15" x14ac:dyDescent="0.25"/>
  <cols>
    <col min="1" max="1" width="21.140625" style="3" customWidth="1"/>
    <col min="2" max="2" width="33.7109375" style="3" customWidth="1"/>
    <col min="3" max="6" width="24.28515625" style="3" customWidth="1"/>
    <col min="7" max="7" width="19.5703125" style="3" customWidth="1"/>
    <col min="8" max="8" width="9.140625" style="3"/>
    <col min="9" max="9" width="12" style="3" customWidth="1"/>
    <col min="10" max="10" width="12.5703125" style="3" customWidth="1"/>
    <col min="11" max="11" width="11.42578125" style="3" customWidth="1"/>
    <col min="12" max="12" width="10.85546875" style="3" customWidth="1"/>
    <col min="13" max="13" width="11.140625" style="3" customWidth="1"/>
    <col min="14" max="16384" width="9.140625" style="3"/>
  </cols>
  <sheetData>
    <row r="1" spans="1:13" s="1" customFormat="1" ht="80.099999999999994" customHeight="1" x14ac:dyDescent="0.2">
      <c r="F1" s="4"/>
    </row>
    <row r="2" spans="1:13" s="2" customFormat="1" ht="20.25" x14ac:dyDescent="0.2">
      <c r="A2" s="239" t="s">
        <v>144</v>
      </c>
      <c r="B2" s="239"/>
      <c r="C2" s="239"/>
      <c r="D2" s="239"/>
      <c r="E2" s="239"/>
      <c r="F2" s="239"/>
      <c r="G2" s="69"/>
    </row>
    <row r="3" spans="1:13" x14ac:dyDescent="0.25">
      <c r="A3" s="7"/>
    </row>
    <row r="4" spans="1:13" s="10" customFormat="1" ht="13.5" hidden="1" customHeight="1" x14ac:dyDescent="0.2">
      <c r="A4"/>
      <c r="B4"/>
      <c r="C4"/>
      <c r="D4"/>
      <c r="E4"/>
      <c r="F4"/>
      <c r="I4" s="10">
        <v>2010</v>
      </c>
    </row>
    <row r="6" spans="1:13" ht="15.75" thickBot="1" x14ac:dyDescent="0.3">
      <c r="A6" s="64" t="s">
        <v>26</v>
      </c>
      <c r="B6" s="60"/>
      <c r="C6" s="61" t="s">
        <v>140</v>
      </c>
      <c r="D6" s="61" t="s">
        <v>141</v>
      </c>
      <c r="E6" s="61" t="s">
        <v>142</v>
      </c>
      <c r="F6" s="61" t="s">
        <v>143</v>
      </c>
      <c r="G6" s="61" t="s">
        <v>40</v>
      </c>
      <c r="I6"/>
      <c r="J6"/>
      <c r="K6"/>
      <c r="L6"/>
      <c r="M6"/>
    </row>
    <row r="7" spans="1:13" x14ac:dyDescent="0.25">
      <c r="A7" s="45"/>
      <c r="B7" s="46" t="s">
        <v>13</v>
      </c>
      <c r="C7" s="46" t="s">
        <v>14</v>
      </c>
      <c r="D7" s="46" t="s">
        <v>14</v>
      </c>
      <c r="E7" s="46" t="s">
        <v>14</v>
      </c>
      <c r="F7" s="47" t="s">
        <v>14</v>
      </c>
      <c r="G7" s="47"/>
      <c r="I7"/>
      <c r="J7"/>
      <c r="K7"/>
      <c r="L7"/>
      <c r="M7"/>
    </row>
    <row r="8" spans="1:13" x14ac:dyDescent="0.25">
      <c r="A8" s="68"/>
      <c r="B8" s="49"/>
      <c r="C8" s="49"/>
      <c r="D8" s="50"/>
      <c r="E8" s="50"/>
      <c r="F8" s="51"/>
      <c r="G8" s="51"/>
      <c r="I8"/>
      <c r="J8"/>
      <c r="K8"/>
      <c r="L8"/>
      <c r="M8"/>
    </row>
    <row r="9" spans="1:13" ht="15.75" x14ac:dyDescent="0.25">
      <c r="A9" s="14"/>
      <c r="B9" s="188" t="s">
        <v>71</v>
      </c>
      <c r="C9" s="52">
        <f>+'2024byMonth'!C9+'2024byMonth'!D9+'2024byMonth'!E9</f>
        <v>0</v>
      </c>
      <c r="D9" s="52">
        <f>+'2024byMonth'!F9+'2024byMonth'!G9+'2024byMonth'!H9</f>
        <v>0</v>
      </c>
      <c r="E9" s="56">
        <f>+'2024byMonth'!I9+'2024byMonth'!J9+'2024byMonth'!K9</f>
        <v>0</v>
      </c>
      <c r="F9" s="158">
        <f>+'2024byMonth'!L9+'2024byMonth'!M9+'2024byMonth'!N9</f>
        <v>0</v>
      </c>
      <c r="G9" s="158">
        <f>+C9+D9+E9+F9</f>
        <v>0</v>
      </c>
      <c r="I9"/>
      <c r="J9"/>
      <c r="K9"/>
      <c r="L9"/>
      <c r="M9"/>
    </row>
    <row r="10" spans="1:13" ht="15.75" x14ac:dyDescent="0.25">
      <c r="A10" s="14"/>
      <c r="B10" s="188" t="s">
        <v>72</v>
      </c>
      <c r="C10" s="52">
        <f>+'2024byMonth'!C10+'2024byMonth'!D10+'2024byMonth'!E10</f>
        <v>0</v>
      </c>
      <c r="D10" s="52">
        <f>+'2024byMonth'!F10+'2024byMonth'!G10+'2024byMonth'!H10</f>
        <v>0</v>
      </c>
      <c r="E10" s="56">
        <f>+'2024byMonth'!I10+'2024byMonth'!J10+'2024byMonth'!K10</f>
        <v>0</v>
      </c>
      <c r="F10" s="53">
        <f>+'2024byMonth'!L10+'2024byMonth'!M10+'2024byMonth'!N10</f>
        <v>0</v>
      </c>
      <c r="G10" s="158">
        <f>+C10+D10+E10+F10</f>
        <v>0</v>
      </c>
      <c r="I10"/>
      <c r="J10"/>
      <c r="K10"/>
      <c r="L10"/>
      <c r="M10"/>
    </row>
    <row r="11" spans="1:13" ht="15.75" x14ac:dyDescent="0.25">
      <c r="A11" s="14"/>
      <c r="B11" s="188" t="s">
        <v>73</v>
      </c>
      <c r="C11" s="52">
        <f>+'2024byMonth'!C11+'2024byMonth'!D11+'2024byMonth'!E11</f>
        <v>0</v>
      </c>
      <c r="D11" s="52">
        <f>+'2024byMonth'!F11+'2024byMonth'!G11+'2024byMonth'!H11</f>
        <v>0</v>
      </c>
      <c r="E11" s="56">
        <f>+'2024byMonth'!I11+'2024byMonth'!J11+'2024byMonth'!K11</f>
        <v>0</v>
      </c>
      <c r="F11" s="53">
        <f>+'2024byMonth'!L11+'2024byMonth'!M11+'2024byMonth'!N11</f>
        <v>0</v>
      </c>
      <c r="G11" s="158">
        <f>+C11+D11+E11+F11</f>
        <v>0</v>
      </c>
      <c r="I11"/>
      <c r="J11"/>
      <c r="K11"/>
      <c r="L11"/>
      <c r="M11"/>
    </row>
    <row r="12" spans="1:13" ht="15.75" x14ac:dyDescent="0.25">
      <c r="A12" s="14"/>
      <c r="B12" s="188" t="s">
        <v>74</v>
      </c>
      <c r="C12" s="52">
        <f>+('2024byMonth'!C12+'2024byMonth'!D12+'2024byMonth'!E12)/3</f>
        <v>528.66666666666663</v>
      </c>
      <c r="D12" s="52">
        <f>+('2024byMonth'!F12+'2024byMonth'!G12+'2024byMonth'!H12)/3</f>
        <v>553.33333333333337</v>
      </c>
      <c r="E12" s="56">
        <f>+('2024byMonth'!I12+'2024byMonth'!J12+'2024byMonth'!K12)/3</f>
        <v>561.66666666666663</v>
      </c>
      <c r="F12" s="53">
        <f>+('2024byMonth'!L12+'2024byMonth'!M12+'2024byMonth'!N12)/3</f>
        <v>586.33333333333337</v>
      </c>
      <c r="G12" s="158">
        <f>+C12+D12+E12+F12</f>
        <v>2230</v>
      </c>
      <c r="I12"/>
      <c r="J12" s="207"/>
      <c r="K12"/>
      <c r="L12"/>
      <c r="M12"/>
    </row>
    <row r="13" spans="1:13" ht="15.75" x14ac:dyDescent="0.25">
      <c r="A13" s="14"/>
      <c r="B13" s="188"/>
      <c r="C13" s="11"/>
      <c r="D13" s="12"/>
      <c r="E13" s="12"/>
      <c r="F13" s="15"/>
      <c r="G13" s="15"/>
      <c r="I13"/>
      <c r="J13"/>
      <c r="K13"/>
      <c r="L13"/>
      <c r="M13"/>
    </row>
    <row r="14" spans="1:13" x14ac:dyDescent="0.25">
      <c r="A14" s="64" t="s">
        <v>0</v>
      </c>
      <c r="B14" s="42"/>
      <c r="C14" s="42"/>
      <c r="D14" s="58"/>
      <c r="E14" s="58"/>
      <c r="F14" s="44"/>
      <c r="G14" s="44"/>
      <c r="I14"/>
      <c r="J14"/>
      <c r="K14"/>
      <c r="L14"/>
      <c r="M14"/>
    </row>
    <row r="15" spans="1:13" ht="15.75" x14ac:dyDescent="0.25">
      <c r="A15" s="16"/>
      <c r="B15" s="189" t="s">
        <v>75</v>
      </c>
      <c r="C15" s="54">
        <f>+'2024byMonth'!C15+'2024byMonth'!D15+'2024byMonth'!E15</f>
        <v>26526.25</v>
      </c>
      <c r="D15" s="54">
        <f>+'2024byMonth'!F15+'2024byMonth'!G15+'2024byMonth'!H15</f>
        <v>19478.25</v>
      </c>
      <c r="E15" s="54">
        <f>+'2024byMonth'!I15+'2024byMonth'!J15+'2024byMonth'!K15</f>
        <v>14203</v>
      </c>
      <c r="F15" s="55">
        <f>+'2024byMonth'!L15+'2024byMonth'!M15+'2024byMonth'!N15</f>
        <v>26548</v>
      </c>
      <c r="G15" s="55">
        <f t="shared" ref="G15:G20" si="0">+C15+D15+E15+F15</f>
        <v>86755.5</v>
      </c>
      <c r="I15"/>
      <c r="J15"/>
      <c r="K15"/>
      <c r="L15"/>
      <c r="M15"/>
    </row>
    <row r="16" spans="1:13" ht="15.75" x14ac:dyDescent="0.25">
      <c r="A16" s="16"/>
      <c r="B16" s="189" t="s">
        <v>76</v>
      </c>
      <c r="C16" s="54">
        <f>+'2024byMonth'!C16+'2024byMonth'!D16+'2024byMonth'!E16</f>
        <v>287788.40000000002</v>
      </c>
      <c r="D16" s="54">
        <f>+'2024byMonth'!F16+'2024byMonth'!G16+'2024byMonth'!H16</f>
        <v>304595.67000000004</v>
      </c>
      <c r="E16" s="54">
        <f>+'2024byMonth'!I16+'2024byMonth'!J16+'2024byMonth'!K16</f>
        <v>310265.95999999996</v>
      </c>
      <c r="F16" s="55">
        <f>+'2024byMonth'!L16+'2024byMonth'!M16+'2024byMonth'!N16</f>
        <v>320327.52</v>
      </c>
      <c r="G16" s="55">
        <f t="shared" si="0"/>
        <v>1222977.55</v>
      </c>
      <c r="I16"/>
      <c r="J16"/>
      <c r="K16"/>
      <c r="L16"/>
      <c r="M16"/>
    </row>
    <row r="17" spans="1:13" ht="15.75" x14ac:dyDescent="0.25">
      <c r="A17" s="16"/>
      <c r="B17" s="189" t="s">
        <v>77</v>
      </c>
      <c r="C17" s="54">
        <f>+'2024byMonth'!C17+'2024byMonth'!D17+'2024byMonth'!E17</f>
        <v>95446.78</v>
      </c>
      <c r="D17" s="54">
        <f>+'2024byMonth'!F17+'2024byMonth'!G17+'2024byMonth'!H17</f>
        <v>50566.360000000008</v>
      </c>
      <c r="E17" s="54">
        <f>+'2024byMonth'!I17+'2024byMonth'!J17+'2024byMonth'!K17</f>
        <v>58067.09</v>
      </c>
      <c r="F17" s="55">
        <f>+'2024byMonth'!L17+'2024byMonth'!M17+'2024byMonth'!N17</f>
        <v>82498.429999999993</v>
      </c>
      <c r="G17" s="55">
        <f t="shared" si="0"/>
        <v>286578.66000000003</v>
      </c>
      <c r="I17"/>
      <c r="J17"/>
      <c r="K17"/>
      <c r="L17"/>
      <c r="M17"/>
    </row>
    <row r="18" spans="1:13" ht="15.75" x14ac:dyDescent="0.25">
      <c r="A18" s="16"/>
      <c r="B18" s="189" t="s">
        <v>78</v>
      </c>
      <c r="C18" s="54">
        <f>+'2024byMonth'!C18+'2024byMonth'!D18+'2024byMonth'!E18</f>
        <v>35540.039999999994</v>
      </c>
      <c r="D18" s="54">
        <f>+'2024byMonth'!F18+'2024byMonth'!G18+'2024byMonth'!H18</f>
        <v>65909.049999999988</v>
      </c>
      <c r="E18" s="54">
        <f>+'2024byMonth'!I18+'2024byMonth'!J18+'2024byMonth'!K18</f>
        <v>34040.580000000016</v>
      </c>
      <c r="F18" s="55">
        <f>+'2024byMonth'!L18+'2024byMonth'!M18+'2024byMonth'!N18</f>
        <v>57698.770000000019</v>
      </c>
      <c r="G18" s="55">
        <f t="shared" si="0"/>
        <v>193188.44</v>
      </c>
      <c r="I18"/>
      <c r="J18"/>
      <c r="K18"/>
      <c r="L18"/>
      <c r="M18"/>
    </row>
    <row r="19" spans="1:13" ht="15.75" x14ac:dyDescent="0.25">
      <c r="A19" s="16"/>
      <c r="B19" s="189" t="s">
        <v>79</v>
      </c>
      <c r="C19" s="54">
        <f>+'2024byMonth'!C19+'2024byMonth'!D19+'2024byMonth'!E19</f>
        <v>0</v>
      </c>
      <c r="D19" s="54">
        <f>+'2024byMonth'!F19+'2024byMonth'!G19+'2024byMonth'!H19</f>
        <v>0</v>
      </c>
      <c r="E19" s="54">
        <f>+'2024byMonth'!I19+'2024byMonth'!J19+'2024byMonth'!K19</f>
        <v>0</v>
      </c>
      <c r="F19" s="55">
        <f>+'2024byMonth'!L19+'2024byMonth'!M19+'2024byMonth'!N19</f>
        <v>0</v>
      </c>
      <c r="G19" s="55">
        <f t="shared" si="0"/>
        <v>0</v>
      </c>
      <c r="I19"/>
      <c r="J19"/>
      <c r="K19"/>
      <c r="L19"/>
      <c r="M19"/>
    </row>
    <row r="20" spans="1:13" x14ac:dyDescent="0.25">
      <c r="A20" s="16"/>
      <c r="B20" s="6" t="s">
        <v>1</v>
      </c>
      <c r="C20" s="30">
        <f>SUM(C15:C19)</f>
        <v>445301.47000000003</v>
      </c>
      <c r="D20" s="30">
        <f>SUM(D15:D19)</f>
        <v>440549.33</v>
      </c>
      <c r="E20" s="30">
        <f>SUM(E15:E19)</f>
        <v>416576.62999999995</v>
      </c>
      <c r="F20" s="38">
        <f>SUM(F15:F19)</f>
        <v>487072.72000000003</v>
      </c>
      <c r="G20" s="38">
        <f t="shared" si="0"/>
        <v>1789500.15</v>
      </c>
      <c r="I20"/>
      <c r="J20"/>
      <c r="K20"/>
      <c r="L20"/>
      <c r="M20"/>
    </row>
    <row r="21" spans="1:13" x14ac:dyDescent="0.25">
      <c r="A21" s="16"/>
      <c r="B21" s="5"/>
      <c r="C21" s="13"/>
      <c r="D21" s="13"/>
      <c r="E21" s="13"/>
      <c r="F21" s="17"/>
      <c r="G21" s="17"/>
      <c r="I21"/>
      <c r="J21"/>
      <c r="K21"/>
      <c r="L21"/>
      <c r="M21"/>
    </row>
    <row r="22" spans="1:13" x14ac:dyDescent="0.25">
      <c r="A22" s="64" t="s">
        <v>2</v>
      </c>
      <c r="B22" s="43"/>
      <c r="C22" s="58"/>
      <c r="D22" s="58"/>
      <c r="E22" s="58"/>
      <c r="F22" s="63"/>
      <c r="G22" s="63"/>
      <c r="I22"/>
      <c r="J22"/>
      <c r="K22"/>
      <c r="L22"/>
      <c r="M22"/>
    </row>
    <row r="23" spans="1:13" ht="15.75" x14ac:dyDescent="0.25">
      <c r="A23" s="16"/>
      <c r="B23" s="189" t="s">
        <v>7</v>
      </c>
      <c r="C23" s="54">
        <f>+'2024byMonth'!C23+'2024byMonth'!D23+'2024byMonth'!E23</f>
        <v>113025.47</v>
      </c>
      <c r="D23" s="54">
        <f>+'2024byMonth'!F23+'2024byMonth'!G23+'2024byMonth'!H23</f>
        <v>114620.04999999999</v>
      </c>
      <c r="E23" s="54">
        <f>+'2024byMonth'!I23+'2024byMonth'!J23+'2024byMonth'!K23</f>
        <v>114209.4</v>
      </c>
      <c r="F23" s="55">
        <f>+'2024byMonth'!L23+'2024byMonth'!M23+'2024byMonth'!N23</f>
        <v>116021.63</v>
      </c>
      <c r="G23" s="55">
        <f t="shared" ref="G23:G28" si="1">+C23+D23+E23+F23</f>
        <v>457876.55</v>
      </c>
      <c r="I23"/>
      <c r="J23"/>
      <c r="K23"/>
      <c r="L23"/>
      <c r="M23"/>
    </row>
    <row r="24" spans="1:13" ht="15.75" x14ac:dyDescent="0.25">
      <c r="A24" s="16"/>
      <c r="B24" s="189" t="s">
        <v>80</v>
      </c>
      <c r="C24" s="54">
        <f>+'2024byMonth'!C24+'2024byMonth'!D24+'2024byMonth'!E24</f>
        <v>15000</v>
      </c>
      <c r="D24" s="54">
        <f>+'2024byMonth'!F24+'2024byMonth'!G24+'2024byMonth'!H24</f>
        <v>15000</v>
      </c>
      <c r="E24" s="54">
        <f>+'2024byMonth'!I24+'2024byMonth'!J24+'2024byMonth'!K24</f>
        <v>15000</v>
      </c>
      <c r="F24" s="55">
        <f>+'2024byMonth'!L24+'2024byMonth'!M24+'2024byMonth'!N24</f>
        <v>15000</v>
      </c>
      <c r="G24" s="55">
        <f t="shared" si="1"/>
        <v>60000</v>
      </c>
      <c r="I24"/>
      <c r="J24"/>
      <c r="K24"/>
      <c r="L24"/>
      <c r="M24"/>
    </row>
    <row r="25" spans="1:13" ht="15.75" x14ac:dyDescent="0.25">
      <c r="A25" s="16"/>
      <c r="B25" s="189" t="s">
        <v>80</v>
      </c>
      <c r="C25" s="54">
        <f>+'2024byMonth'!C25+'2024byMonth'!D25+'2024byMonth'!E25</f>
        <v>61275</v>
      </c>
      <c r="D25" s="54">
        <f>+'2024byMonth'!F25+'2024byMonth'!G25+'2024byMonth'!H25</f>
        <v>61275</v>
      </c>
      <c r="E25" s="54">
        <f>+'2024byMonth'!I25+'2024byMonth'!J25+'2024byMonth'!K25</f>
        <v>61275</v>
      </c>
      <c r="F25" s="55">
        <f>+'2024byMonth'!L25+'2024byMonth'!M25+'2024byMonth'!N25</f>
        <v>87275</v>
      </c>
      <c r="G25" s="178">
        <f t="shared" si="1"/>
        <v>271100</v>
      </c>
      <c r="I25"/>
      <c r="J25"/>
      <c r="K25"/>
      <c r="L25"/>
      <c r="M25"/>
    </row>
    <row r="26" spans="1:13" ht="15.75" x14ac:dyDescent="0.25">
      <c r="A26" s="16"/>
      <c r="B26" s="189" t="s">
        <v>81</v>
      </c>
      <c r="C26" s="54">
        <f>+'2024byMonth'!C26+'2024byMonth'!D26+'2024byMonth'!E26</f>
        <v>98897.94</v>
      </c>
      <c r="D26" s="54">
        <f>+'2024byMonth'!F26+'2024byMonth'!G26+'2024byMonth'!H26</f>
        <v>77212.009999999995</v>
      </c>
      <c r="E26" s="54">
        <f>+'2024byMonth'!I26+'2024byMonth'!J26+'2024byMonth'!K26</f>
        <v>61472.679999999993</v>
      </c>
      <c r="F26" s="55">
        <f>+'2024byMonth'!L26+'2024byMonth'!M26+'2024byMonth'!N26</f>
        <v>88869.55</v>
      </c>
      <c r="G26" s="55">
        <f t="shared" si="1"/>
        <v>326452.18</v>
      </c>
      <c r="I26"/>
      <c r="J26"/>
      <c r="K26"/>
      <c r="L26"/>
      <c r="M26"/>
    </row>
    <row r="27" spans="1:13" ht="15.75" x14ac:dyDescent="0.25">
      <c r="A27" s="16"/>
      <c r="B27" s="189" t="s">
        <v>8</v>
      </c>
      <c r="C27" s="54">
        <f>+'2024byMonth'!C27+'2024byMonth'!D27+'2024byMonth'!E27</f>
        <v>127171.07</v>
      </c>
      <c r="D27" s="54">
        <f>+'2024byMonth'!F27+'2024byMonth'!G27+'2024byMonth'!H27</f>
        <v>150953.26</v>
      </c>
      <c r="E27" s="54">
        <f>+'2024byMonth'!I27+'2024byMonth'!J27+'2024byMonth'!K27</f>
        <v>137468.74</v>
      </c>
      <c r="F27" s="55">
        <f>+'2024byMonth'!L27+'2024byMonth'!M27+'2024byMonth'!N27</f>
        <v>146180.13</v>
      </c>
      <c r="G27" s="55">
        <f t="shared" si="1"/>
        <v>561773.19999999995</v>
      </c>
      <c r="I27" s="40"/>
      <c r="J27"/>
      <c r="K27"/>
      <c r="L27"/>
      <c r="M27"/>
    </row>
    <row r="28" spans="1:13" x14ac:dyDescent="0.25">
      <c r="A28" s="16"/>
      <c r="B28" s="6" t="s">
        <v>15</v>
      </c>
      <c r="C28" s="30">
        <f>SUM(C23:C27)</f>
        <v>415369.48000000004</v>
      </c>
      <c r="D28" s="30">
        <f>SUM(D23:D27)</f>
        <v>419060.32</v>
      </c>
      <c r="E28" s="30">
        <f>SUM(E23:E27)</f>
        <v>389425.81999999995</v>
      </c>
      <c r="F28" s="38">
        <f>SUM(F23:F27)</f>
        <v>453346.31</v>
      </c>
      <c r="G28" s="38">
        <f t="shared" si="1"/>
        <v>1677201.9300000002</v>
      </c>
      <c r="I28" s="209"/>
      <c r="J28"/>
      <c r="K28"/>
      <c r="L28"/>
      <c r="M28"/>
    </row>
    <row r="29" spans="1:13" x14ac:dyDescent="0.25">
      <c r="A29" s="16"/>
      <c r="B29" s="5"/>
      <c r="C29" s="13"/>
      <c r="D29" s="13"/>
      <c r="E29" s="13"/>
      <c r="F29" s="17"/>
      <c r="G29" s="17"/>
      <c r="I29"/>
      <c r="J29"/>
      <c r="K29"/>
      <c r="L29"/>
      <c r="M29"/>
    </row>
    <row r="30" spans="1:13" x14ac:dyDescent="0.25">
      <c r="A30" s="64" t="s">
        <v>3</v>
      </c>
      <c r="B30" s="43"/>
      <c r="C30" s="58"/>
      <c r="D30" s="58"/>
      <c r="E30" s="58"/>
      <c r="F30" s="63"/>
      <c r="G30" s="63"/>
      <c r="I30"/>
      <c r="J30"/>
      <c r="K30"/>
      <c r="L30"/>
      <c r="M30"/>
    </row>
    <row r="31" spans="1:13" x14ac:dyDescent="0.25">
      <c r="A31" s="16"/>
      <c r="B31" s="5" t="s">
        <v>9</v>
      </c>
      <c r="C31" s="30">
        <f>C20-C28</f>
        <v>29931.989999999991</v>
      </c>
      <c r="D31" s="30">
        <f>D20-D28</f>
        <v>21489.010000000009</v>
      </c>
      <c r="E31" s="30">
        <f>E20-E28</f>
        <v>27150.809999999998</v>
      </c>
      <c r="F31" s="38">
        <f>F20-F28</f>
        <v>33726.410000000033</v>
      </c>
      <c r="G31" s="38">
        <f>+C31+D31+E31+F31</f>
        <v>112298.22000000003</v>
      </c>
      <c r="I31"/>
      <c r="J31"/>
      <c r="K31"/>
      <c r="L31"/>
      <c r="M31"/>
    </row>
    <row r="32" spans="1:13" x14ac:dyDescent="0.25">
      <c r="A32" s="16"/>
      <c r="B32" s="5"/>
      <c r="C32" s="13"/>
      <c r="D32" s="13"/>
      <c r="E32" s="13"/>
      <c r="F32" s="17"/>
      <c r="G32" s="17"/>
      <c r="I32"/>
      <c r="J32"/>
      <c r="K32"/>
      <c r="L32"/>
      <c r="M32"/>
    </row>
    <row r="33" spans="1:13" x14ac:dyDescent="0.25">
      <c r="A33" s="64" t="s">
        <v>6</v>
      </c>
      <c r="B33" s="43"/>
      <c r="C33" s="58"/>
      <c r="D33" s="58"/>
      <c r="E33" s="58"/>
      <c r="F33" s="63"/>
      <c r="G33" s="63"/>
      <c r="I33"/>
      <c r="J33"/>
      <c r="K33"/>
      <c r="L33"/>
      <c r="M33"/>
    </row>
    <row r="34" spans="1:13" ht="15.75" x14ac:dyDescent="0.25">
      <c r="A34" s="16"/>
      <c r="B34" s="189" t="s">
        <v>82</v>
      </c>
      <c r="C34" s="57">
        <f>(+'2024byMonth'!C34+'2024byMonth'!D34+'2024byMonth'!E34)/3</f>
        <v>8.5</v>
      </c>
      <c r="D34" s="56">
        <f>(+'2024byMonth'!F34+'2024byMonth'!G34+'2024byMonth'!H34)/3</f>
        <v>8.5</v>
      </c>
      <c r="E34" s="56">
        <f>(+'2024byMonth'!I34+'2024byMonth'!J34+'2024byMonth'!K34)/3</f>
        <v>8.5</v>
      </c>
      <c r="F34" s="158">
        <f>(+'2024byMonth'!L34+'2024byMonth'!M34+'2024byMonth'!N34)/3</f>
        <v>8.5</v>
      </c>
      <c r="G34" s="53"/>
      <c r="I34"/>
      <c r="J34"/>
      <c r="K34"/>
      <c r="L34"/>
      <c r="M34"/>
    </row>
    <row r="35" spans="1:13" ht="15.75" x14ac:dyDescent="0.25">
      <c r="A35" s="16"/>
      <c r="B35" s="189" t="s">
        <v>83</v>
      </c>
      <c r="C35" s="57">
        <f>(+'2024byMonth'!C35+'2024byMonth'!D35+'2024byMonth'!E35)/3</f>
        <v>5.5</v>
      </c>
      <c r="D35" s="56">
        <f>(+'2024byMonth'!F35+'2024byMonth'!G35+'2024byMonth'!H35)/3</f>
        <v>5.5</v>
      </c>
      <c r="E35" s="56">
        <f>(+'2024byMonth'!I35+'2024byMonth'!J35+'2024byMonth'!K35)/3</f>
        <v>5.5</v>
      </c>
      <c r="F35" s="158">
        <f>(+'2024byMonth'!L35+'2024byMonth'!M35+'2024byMonth'!N35)/3</f>
        <v>5.5</v>
      </c>
      <c r="G35" s="53"/>
      <c r="I35"/>
      <c r="J35"/>
      <c r="K35"/>
      <c r="L35"/>
      <c r="M35"/>
    </row>
    <row r="36" spans="1:13" ht="15.75" x14ac:dyDescent="0.25">
      <c r="A36" s="16"/>
      <c r="B36" s="189" t="s">
        <v>84</v>
      </c>
      <c r="C36" s="57">
        <f>(+'2024byMonth'!C36+'2024byMonth'!D36+'2024byMonth'!E36)/3</f>
        <v>477.33333333333331</v>
      </c>
      <c r="D36" s="56">
        <f>(+'2024byMonth'!F36+'2024byMonth'!G36+'2024byMonth'!H36)/3</f>
        <v>502.66666666666669</v>
      </c>
      <c r="E36" s="56">
        <f>(+'2024byMonth'!I36+'2024byMonth'!J36+'2024byMonth'!K36)/3</f>
        <v>512</v>
      </c>
      <c r="F36" s="158">
        <f>(+'2024byMonth'!L36+'2024byMonth'!M36+'2024byMonth'!N36)/3</f>
        <v>536.66666666666663</v>
      </c>
      <c r="G36" s="53"/>
      <c r="I36"/>
      <c r="J36"/>
      <c r="K36"/>
      <c r="L36"/>
      <c r="M36"/>
    </row>
    <row r="37" spans="1:13" ht="15.75" x14ac:dyDescent="0.25">
      <c r="A37" s="16"/>
      <c r="B37" s="189" t="s">
        <v>10</v>
      </c>
      <c r="C37" s="57">
        <f>(+'2024byMonth'!C37+'2024byMonth'!D37+'2024byMonth'!E37)/3</f>
        <v>34.333333333333336</v>
      </c>
      <c r="D37" s="56">
        <f>(+'2024byMonth'!F37+'2024byMonth'!G37+'2024byMonth'!H37)/3</f>
        <v>34.666666666666664</v>
      </c>
      <c r="E37" s="56">
        <f>(+'2024byMonth'!I37+'2024byMonth'!J37+'2024byMonth'!K37)/3</f>
        <v>35</v>
      </c>
      <c r="F37" s="158">
        <f>(+'2024byMonth'!L37+'2024byMonth'!M37+'2024byMonth'!N37)/3</f>
        <v>35</v>
      </c>
      <c r="G37" s="53"/>
      <c r="I37"/>
      <c r="J37"/>
      <c r="K37"/>
      <c r="L37"/>
      <c r="M37"/>
    </row>
    <row r="38" spans="1:13" x14ac:dyDescent="0.25">
      <c r="A38" s="16"/>
      <c r="B38" s="5"/>
      <c r="C38" s="13"/>
      <c r="D38" s="13"/>
      <c r="E38" s="13"/>
      <c r="F38" s="17"/>
      <c r="G38" s="17"/>
      <c r="I38"/>
      <c r="J38"/>
      <c r="K38"/>
      <c r="L38"/>
      <c r="M38"/>
    </row>
    <row r="39" spans="1:13" x14ac:dyDescent="0.25">
      <c r="A39" s="64" t="s">
        <v>4</v>
      </c>
      <c r="B39" s="65"/>
      <c r="C39" s="66"/>
      <c r="D39" s="66"/>
      <c r="E39" s="66"/>
      <c r="F39" s="67"/>
      <c r="G39" s="67"/>
      <c r="I39"/>
      <c r="J39"/>
      <c r="K39"/>
      <c r="L39"/>
      <c r="M39"/>
    </row>
    <row r="40" spans="1:13" ht="15.75" x14ac:dyDescent="0.25">
      <c r="A40" s="16"/>
      <c r="B40" s="189" t="s">
        <v>85</v>
      </c>
      <c r="C40" s="56">
        <f>+'2024byMonth'!C40+'2024byMonth'!D40+'2024byMonth'!E40</f>
        <v>0</v>
      </c>
      <c r="D40" s="56">
        <f>+'2024byMonth'!F40+'2024byMonth'!G40+'2024byMonth'!H40</f>
        <v>0</v>
      </c>
      <c r="E40" s="56">
        <f>+'2024byMonth'!I40+'2024byMonth'!J40+'2024byMonth'!K40</f>
        <v>0</v>
      </c>
      <c r="F40" s="158">
        <f>+'2024byMonth'!L40+'2024byMonth'!M40+'2024byMonth'!N40</f>
        <v>0</v>
      </c>
      <c r="G40" s="53">
        <f t="shared" ref="G40:G45" si="2">+C40+D40+E40+F40</f>
        <v>0</v>
      </c>
      <c r="I40"/>
      <c r="J40"/>
      <c r="K40"/>
      <c r="L40"/>
      <c r="M40"/>
    </row>
    <row r="41" spans="1:13" ht="15.75" x14ac:dyDescent="0.25">
      <c r="A41" s="16"/>
      <c r="B41" s="189" t="s">
        <v>86</v>
      </c>
      <c r="C41" s="56">
        <f>+'2024byMonth'!C41+'2024byMonth'!D41+'2024byMonth'!E41</f>
        <v>12</v>
      </c>
      <c r="D41" s="56">
        <f>+'2024byMonth'!F41+'2024byMonth'!G41+'2024byMonth'!H41</f>
        <v>4</v>
      </c>
      <c r="E41" s="56">
        <f>+'2024byMonth'!I41+'2024byMonth'!J41+'2024byMonth'!K41</f>
        <v>0</v>
      </c>
      <c r="F41" s="158">
        <f>+'2024byMonth'!L41+'2024byMonth'!M41+'2024byMonth'!N41</f>
        <v>2</v>
      </c>
      <c r="G41" s="53">
        <f t="shared" si="2"/>
        <v>18</v>
      </c>
      <c r="I41"/>
      <c r="J41"/>
      <c r="K41"/>
      <c r="L41"/>
      <c r="M41"/>
    </row>
    <row r="42" spans="1:13" ht="15.75" x14ac:dyDescent="0.25">
      <c r="A42" s="16"/>
      <c r="B42" s="189" t="s">
        <v>11</v>
      </c>
      <c r="C42" s="56">
        <f>+'2024byMonth'!C42+'2024byMonth'!D42+'2024byMonth'!E42</f>
        <v>0</v>
      </c>
      <c r="D42" s="56">
        <f>+'2024byMonth'!F42+'2024byMonth'!G42+'2024byMonth'!H42</f>
        <v>0</v>
      </c>
      <c r="E42" s="56">
        <f>+'2024byMonth'!I42+'2024byMonth'!J42+'2024byMonth'!K42</f>
        <v>0</v>
      </c>
      <c r="F42" s="158">
        <f>+'2024byMonth'!L42+'2024byMonth'!M42+'2024byMonth'!N42</f>
        <v>1</v>
      </c>
      <c r="G42" s="53">
        <f t="shared" si="2"/>
        <v>1</v>
      </c>
      <c r="I42"/>
      <c r="J42"/>
      <c r="K42"/>
      <c r="L42"/>
      <c r="M42"/>
    </row>
    <row r="43" spans="1:13" ht="15.75" x14ac:dyDescent="0.25">
      <c r="A43" s="16"/>
      <c r="B43" s="189" t="s">
        <v>12</v>
      </c>
      <c r="C43" s="56">
        <f>+'2024byMonth'!C43+'2024byMonth'!D43+'2024byMonth'!E43</f>
        <v>3</v>
      </c>
      <c r="D43" s="56">
        <f>+'2024byMonth'!F43+'2024byMonth'!G43+'2024byMonth'!H43</f>
        <v>0</v>
      </c>
      <c r="E43" s="56">
        <f>+'2024byMonth'!I43+'2024byMonth'!J43+'2024byMonth'!K43</f>
        <v>0</v>
      </c>
      <c r="F43" s="158">
        <f>+'2024byMonth'!L43+'2024byMonth'!M43+'2024byMonth'!N43</f>
        <v>0</v>
      </c>
      <c r="G43" s="53">
        <f t="shared" si="2"/>
        <v>3</v>
      </c>
      <c r="I43"/>
      <c r="J43"/>
      <c r="K43"/>
      <c r="L43"/>
      <c r="M43"/>
    </row>
    <row r="44" spans="1:13" ht="15.75" x14ac:dyDescent="0.25">
      <c r="A44" s="16"/>
      <c r="B44" s="189" t="s">
        <v>87</v>
      </c>
      <c r="C44" s="231">
        <f>+'2024byMonth'!C44+'2024byMonth'!D44+'2024byMonth'!E44</f>
        <v>9528</v>
      </c>
      <c r="D44" s="231">
        <f>+'2024byMonth'!F44+'2024byMonth'!G44+'2024byMonth'!H44</f>
        <v>0</v>
      </c>
      <c r="E44" s="231">
        <f>+'2024byMonth'!I44+'2024byMonth'!J44+'2024byMonth'!K44</f>
        <v>100</v>
      </c>
      <c r="F44" s="232">
        <f>+'2024byMonth'!L44+'2024byMonth'!M44+'2024byMonth'!N44</f>
        <v>0</v>
      </c>
      <c r="G44" s="55">
        <f t="shared" si="2"/>
        <v>9628</v>
      </c>
      <c r="I44"/>
      <c r="J44"/>
      <c r="K44"/>
      <c r="L44"/>
      <c r="M44"/>
    </row>
    <row r="45" spans="1:13" ht="15.75" x14ac:dyDescent="0.25">
      <c r="A45" s="16"/>
      <c r="B45" s="189" t="s">
        <v>88</v>
      </c>
      <c r="C45" s="231">
        <f>+'2024byMonth'!C45+'2024byMonth'!D45+'2024byMonth'!E45</f>
        <v>0</v>
      </c>
      <c r="D45" s="231">
        <f>+'2024byMonth'!F45+'2024byMonth'!G45+'2024byMonth'!H45</f>
        <v>779.68</v>
      </c>
      <c r="E45" s="231">
        <f>+'2024byMonth'!I45+'2024byMonth'!J45+'2024byMonth'!K45</f>
        <v>0</v>
      </c>
      <c r="F45" s="232">
        <f>+'2024byMonth'!L45+'2024byMonth'!M45+'2024byMonth'!N45</f>
        <v>0</v>
      </c>
      <c r="G45" s="55">
        <f t="shared" si="2"/>
        <v>779.68</v>
      </c>
      <c r="I45"/>
      <c r="J45"/>
      <c r="K45"/>
      <c r="L45"/>
      <c r="M45"/>
    </row>
    <row r="46" spans="1:13" ht="15.75" thickBot="1" x14ac:dyDescent="0.3">
      <c r="A46" s="18"/>
      <c r="B46" s="19"/>
      <c r="C46" s="20"/>
      <c r="D46" s="20"/>
      <c r="E46" s="20"/>
      <c r="F46" s="21"/>
      <c r="G46" s="21"/>
      <c r="I46"/>
      <c r="J46"/>
      <c r="K46"/>
      <c r="L46"/>
      <c r="M46"/>
    </row>
    <row r="47" spans="1:13" x14ac:dyDescent="0.25">
      <c r="I47"/>
      <c r="J47"/>
      <c r="K47"/>
      <c r="L47"/>
      <c r="M47"/>
    </row>
    <row r="48" spans="1:13" x14ac:dyDescent="0.25">
      <c r="I48"/>
      <c r="J48"/>
      <c r="K48"/>
      <c r="L48"/>
      <c r="M48"/>
    </row>
    <row r="49" spans="9:13" x14ac:dyDescent="0.25">
      <c r="I49"/>
      <c r="J49"/>
      <c r="K49"/>
      <c r="L49"/>
      <c r="M49"/>
    </row>
    <row r="50" spans="9:13" x14ac:dyDescent="0.25">
      <c r="I50"/>
      <c r="J50"/>
      <c r="K50"/>
      <c r="L50"/>
      <c r="M50"/>
    </row>
    <row r="51" spans="9:13" x14ac:dyDescent="0.25">
      <c r="I51"/>
      <c r="J51"/>
      <c r="K51"/>
      <c r="L51"/>
      <c r="M51"/>
    </row>
    <row r="52" spans="9:13" x14ac:dyDescent="0.25">
      <c r="I52"/>
      <c r="J52"/>
      <c r="K52"/>
      <c r="L52"/>
      <c r="M52"/>
    </row>
    <row r="53" spans="9:13" x14ac:dyDescent="0.25">
      <c r="I53"/>
      <c r="J53"/>
      <c r="K53"/>
      <c r="L53"/>
      <c r="M53"/>
    </row>
    <row r="54" spans="9:13" x14ac:dyDescent="0.25">
      <c r="I54"/>
      <c r="J54"/>
      <c r="K54"/>
      <c r="L54"/>
      <c r="M54"/>
    </row>
    <row r="55" spans="9:13" x14ac:dyDescent="0.25">
      <c r="I55"/>
      <c r="J55"/>
      <c r="K55"/>
      <c r="L55"/>
      <c r="M55"/>
    </row>
    <row r="56" spans="9:13" x14ac:dyDescent="0.25">
      <c r="I56"/>
      <c r="J56"/>
      <c r="K56"/>
      <c r="L56"/>
      <c r="M56"/>
    </row>
    <row r="57" spans="9:13" x14ac:dyDescent="0.25">
      <c r="I57"/>
      <c r="J57"/>
      <c r="K57"/>
      <c r="L57"/>
      <c r="M57"/>
    </row>
    <row r="58" spans="9:13" x14ac:dyDescent="0.25">
      <c r="I58"/>
      <c r="J58"/>
      <c r="K58"/>
      <c r="L58"/>
      <c r="M58"/>
    </row>
    <row r="59" spans="9:13" x14ac:dyDescent="0.25">
      <c r="I59"/>
      <c r="J59"/>
      <c r="K59"/>
      <c r="L59"/>
      <c r="M59"/>
    </row>
    <row r="60" spans="9:13" x14ac:dyDescent="0.25">
      <c r="I60"/>
      <c r="J60"/>
      <c r="K60"/>
      <c r="L60"/>
      <c r="M60"/>
    </row>
    <row r="61" spans="9:13" x14ac:dyDescent="0.25">
      <c r="I61"/>
      <c r="J61"/>
      <c r="K61"/>
      <c r="L61"/>
      <c r="M61"/>
    </row>
    <row r="62" spans="9:13" x14ac:dyDescent="0.25">
      <c r="I62"/>
      <c r="J62"/>
      <c r="K62"/>
    </row>
    <row r="63" spans="9:13" x14ac:dyDescent="0.25">
      <c r="I63"/>
      <c r="J63"/>
      <c r="K63"/>
    </row>
    <row r="64" spans="9:13" x14ac:dyDescent="0.25">
      <c r="I64"/>
      <c r="J64"/>
      <c r="K64"/>
    </row>
    <row r="65" spans="9:11" x14ac:dyDescent="0.25">
      <c r="I65"/>
      <c r="J65"/>
      <c r="K65"/>
    </row>
    <row r="66" spans="9:11" x14ac:dyDescent="0.25">
      <c r="I66"/>
      <c r="J66"/>
      <c r="K66"/>
    </row>
  </sheetData>
  <mergeCells count="1">
    <mergeCell ref="A2:F2"/>
  </mergeCells>
  <phoneticPr fontId="5" type="noConversion"/>
  <printOptions horizontalCentered="1"/>
  <pageMargins left="0.7" right="0.7" top="0.75" bottom="0.75" header="0.3" footer="0.3"/>
  <pageSetup scale="66" orientation="landscape" r:id="rId1"/>
  <headerFooter alignWithMargins="0">
    <oddHeader>&amp;R&amp;D</oddHeader>
    <oddFooter>&amp;R&amp;Z&amp;F</oddFooter>
  </headerFooter>
  <ignoredErrors>
    <ignoredError sqref="E9 C9:C10" unlockedFormula="1"/>
  </ignoredError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66"/>
    <pageSetUpPr fitToPage="1"/>
  </sheetPr>
  <dimension ref="A1:P78"/>
  <sheetViews>
    <sheetView workbookViewId="0">
      <selection activeCell="H44" sqref="H44"/>
    </sheetView>
  </sheetViews>
  <sheetFormatPr defaultRowHeight="12.75" x14ac:dyDescent="0.2"/>
  <cols>
    <col min="2" max="2" width="33" customWidth="1"/>
    <col min="3" max="14" width="13.7109375" customWidth="1"/>
    <col min="15" max="15" width="13.42578125" customWidth="1"/>
    <col min="16" max="16" width="14.42578125" bestFit="1" customWidth="1"/>
  </cols>
  <sheetData>
    <row r="1" spans="1:16" ht="72.75" customHeight="1" x14ac:dyDescent="0.4">
      <c r="A1" s="88"/>
      <c r="B1" s="88"/>
      <c r="C1" s="88"/>
      <c r="D1" s="88"/>
      <c r="E1" s="88"/>
      <c r="F1" s="88"/>
      <c r="G1" s="88"/>
      <c r="H1" s="88"/>
      <c r="I1" s="88"/>
      <c r="J1" s="88"/>
      <c r="K1" s="88"/>
      <c r="L1" s="88"/>
      <c r="M1" s="88"/>
    </row>
    <row r="3" spans="1:16" ht="27" x14ac:dyDescent="0.35">
      <c r="A3" s="238" t="s">
        <v>139</v>
      </c>
      <c r="B3" s="238"/>
      <c r="C3" s="238"/>
      <c r="D3" s="238"/>
      <c r="E3" s="238"/>
      <c r="F3" s="238"/>
      <c r="G3" s="238"/>
      <c r="H3" s="238"/>
      <c r="I3" s="238"/>
      <c r="J3" s="238"/>
      <c r="K3" s="238"/>
      <c r="L3" s="238"/>
      <c r="M3" s="238"/>
      <c r="N3" s="238"/>
      <c r="O3" s="238"/>
    </row>
    <row r="5" spans="1:16" x14ac:dyDescent="0.2">
      <c r="C5" s="208"/>
      <c r="D5" s="208"/>
      <c r="E5" s="208"/>
      <c r="F5" s="208"/>
      <c r="G5" s="208"/>
      <c r="H5" s="208"/>
      <c r="I5" s="208"/>
      <c r="J5" s="208"/>
    </row>
    <row r="6" spans="1:16" ht="15" x14ac:dyDescent="0.25">
      <c r="A6" s="59"/>
      <c r="B6" s="60"/>
      <c r="C6" s="61" t="s">
        <v>41</v>
      </c>
      <c r="D6" s="61" t="s">
        <v>42</v>
      </c>
      <c r="E6" s="61" t="s">
        <v>43</v>
      </c>
      <c r="F6" s="61" t="s">
        <v>44</v>
      </c>
      <c r="G6" s="61" t="s">
        <v>45</v>
      </c>
      <c r="H6" s="61" t="s">
        <v>46</v>
      </c>
      <c r="I6" s="61" t="s">
        <v>47</v>
      </c>
      <c r="J6" s="61" t="s">
        <v>48</v>
      </c>
      <c r="K6" s="61" t="s">
        <v>49</v>
      </c>
      <c r="L6" s="176" t="s">
        <v>50</v>
      </c>
      <c r="M6" s="61" t="s">
        <v>51</v>
      </c>
      <c r="N6" s="61" t="s">
        <v>52</v>
      </c>
      <c r="O6" s="61" t="s">
        <v>40</v>
      </c>
    </row>
    <row r="7" spans="1:16" ht="15" hidden="1" x14ac:dyDescent="0.25">
      <c r="A7" s="77"/>
      <c r="B7" s="73" t="s">
        <v>13</v>
      </c>
      <c r="C7" s="73" t="s">
        <v>14</v>
      </c>
      <c r="D7" s="73"/>
      <c r="E7" s="73"/>
      <c r="F7" s="73"/>
      <c r="G7" s="73"/>
      <c r="H7" s="73"/>
      <c r="I7" s="73"/>
      <c r="J7" s="73"/>
      <c r="K7" s="73"/>
      <c r="L7" s="73"/>
      <c r="M7" s="73"/>
      <c r="N7" s="73"/>
      <c r="O7" s="78"/>
    </row>
    <row r="8" spans="1:16" ht="15" x14ac:dyDescent="0.25">
      <c r="A8" s="83" t="s">
        <v>26</v>
      </c>
      <c r="B8" s="84"/>
      <c r="C8" s="84"/>
      <c r="D8" s="84"/>
      <c r="E8" s="84"/>
      <c r="F8" s="84"/>
      <c r="G8" s="84"/>
      <c r="H8" s="84"/>
      <c r="I8" s="84"/>
      <c r="J8" s="84"/>
      <c r="K8" s="84"/>
      <c r="L8" s="84"/>
      <c r="M8" s="84"/>
      <c r="N8" s="84"/>
      <c r="O8" s="86"/>
    </row>
    <row r="9" spans="1:16" ht="15.75" x14ac:dyDescent="0.25">
      <c r="A9" s="14"/>
      <c r="B9" s="188" t="s">
        <v>71</v>
      </c>
      <c r="C9" s="139"/>
      <c r="D9" s="139"/>
      <c r="E9" s="139"/>
      <c r="F9" s="139"/>
      <c r="G9" s="139"/>
      <c r="H9" s="139"/>
      <c r="I9" s="139"/>
      <c r="J9" s="139"/>
      <c r="K9" s="139"/>
      <c r="L9" s="139"/>
      <c r="M9" s="139"/>
      <c r="N9" s="139"/>
      <c r="O9" s="140"/>
    </row>
    <row r="10" spans="1:16" ht="15.75" x14ac:dyDescent="0.25">
      <c r="A10" s="14"/>
      <c r="B10" s="188" t="s">
        <v>72</v>
      </c>
      <c r="C10" s="139"/>
      <c r="D10" s="139"/>
      <c r="E10" s="139"/>
      <c r="F10" s="139"/>
      <c r="G10" s="139"/>
      <c r="H10" s="139"/>
      <c r="I10" s="139"/>
      <c r="J10" s="139"/>
      <c r="K10" s="139"/>
      <c r="L10" s="139"/>
      <c r="M10" s="139"/>
      <c r="N10" s="139"/>
      <c r="O10" s="140"/>
    </row>
    <row r="11" spans="1:16" ht="15.75" x14ac:dyDescent="0.25">
      <c r="A11" s="14"/>
      <c r="B11" s="188" t="s">
        <v>73</v>
      </c>
      <c r="C11" s="139"/>
      <c r="D11" s="139"/>
      <c r="E11" s="139"/>
      <c r="F11" s="139"/>
      <c r="G11" s="139"/>
      <c r="H11" s="139"/>
      <c r="I11" s="139"/>
      <c r="J11" s="139"/>
      <c r="K11" s="139"/>
      <c r="L11" s="139"/>
      <c r="M11" s="139"/>
      <c r="N11" s="139"/>
      <c r="O11" s="140"/>
    </row>
    <row r="12" spans="1:16" ht="15.75" x14ac:dyDescent="0.25">
      <c r="A12" s="14"/>
      <c r="B12" s="188" t="s">
        <v>74</v>
      </c>
      <c r="C12" s="102">
        <f>467+52</f>
        <v>519</v>
      </c>
      <c r="D12" s="102">
        <f>472+51</f>
        <v>523</v>
      </c>
      <c r="E12" s="102">
        <f>493+51</f>
        <v>544</v>
      </c>
      <c r="F12" s="102">
        <f>500+52</f>
        <v>552</v>
      </c>
      <c r="G12" s="102">
        <f>504+51</f>
        <v>555</v>
      </c>
      <c r="H12" s="102">
        <f>504+49</f>
        <v>553</v>
      </c>
      <c r="I12" s="102">
        <f>496+49</f>
        <v>545</v>
      </c>
      <c r="J12" s="102">
        <f>511+50</f>
        <v>561</v>
      </c>
      <c r="K12" s="102">
        <f>529+50</f>
        <v>579</v>
      </c>
      <c r="L12" s="102">
        <f>532+49</f>
        <v>581</v>
      </c>
      <c r="M12" s="102">
        <f>539+50</f>
        <v>589</v>
      </c>
      <c r="N12" s="102">
        <f>539+50</f>
        <v>589</v>
      </c>
      <c r="O12" s="141"/>
    </row>
    <row r="13" spans="1:16" ht="15.75" x14ac:dyDescent="0.25">
      <c r="A13" s="14"/>
      <c r="B13" s="188"/>
      <c r="C13" s="99"/>
      <c r="D13" s="99"/>
      <c r="E13" s="99"/>
      <c r="F13" s="99"/>
      <c r="G13" s="99"/>
      <c r="H13" s="99"/>
      <c r="I13" s="99"/>
      <c r="J13" s="99"/>
      <c r="K13" s="99"/>
      <c r="L13" s="99"/>
      <c r="M13" s="99"/>
      <c r="N13" s="99"/>
      <c r="O13" s="141"/>
    </row>
    <row r="14" spans="1:16" ht="15" x14ac:dyDescent="0.25">
      <c r="A14" s="83" t="s">
        <v>0</v>
      </c>
      <c r="B14" s="84"/>
      <c r="C14" s="142"/>
      <c r="D14" s="142"/>
      <c r="E14" s="142"/>
      <c r="F14" s="142"/>
      <c r="G14" s="142"/>
      <c r="H14" s="142"/>
      <c r="I14" s="142"/>
      <c r="J14" s="142"/>
      <c r="K14" s="142"/>
      <c r="L14" s="142"/>
      <c r="M14" s="142"/>
      <c r="N14" s="142"/>
      <c r="O14" s="143"/>
    </row>
    <row r="15" spans="1:16" ht="15.75" x14ac:dyDescent="0.25">
      <c r="A15" s="16"/>
      <c r="B15" s="189" t="s">
        <v>75</v>
      </c>
      <c r="C15" s="144">
        <v>4622.5</v>
      </c>
      <c r="D15" s="144">
        <v>3378.25</v>
      </c>
      <c r="E15" s="220">
        <v>18525.5</v>
      </c>
      <c r="F15" s="144">
        <v>10163.25</v>
      </c>
      <c r="G15" s="144">
        <v>7233.75</v>
      </c>
      <c r="H15" s="144">
        <v>2081.25</v>
      </c>
      <c r="I15" s="144">
        <v>4115</v>
      </c>
      <c r="J15" s="144">
        <v>3371.75</v>
      </c>
      <c r="K15" s="144">
        <v>6716.25</v>
      </c>
      <c r="L15" s="144">
        <v>9563.5</v>
      </c>
      <c r="M15" s="144">
        <v>6691.75</v>
      </c>
      <c r="N15" s="144">
        <v>10292.75</v>
      </c>
      <c r="O15" s="145">
        <f>SUM(C15:N15)</f>
        <v>86755.5</v>
      </c>
    </row>
    <row r="16" spans="1:16" ht="15.75" x14ac:dyDescent="0.25">
      <c r="A16" s="16"/>
      <c r="B16" s="189" t="s">
        <v>76</v>
      </c>
      <c r="C16" s="144">
        <f>86473.15+5768.95</f>
        <v>92242.099999999991</v>
      </c>
      <c r="D16" s="144">
        <f>89814.52+5628.95</f>
        <v>95443.47</v>
      </c>
      <c r="E16" s="220">
        <f>96071.88+4030.95</f>
        <v>100102.83</v>
      </c>
      <c r="F16" s="144">
        <f>97623.96+4137.95</f>
        <v>101761.91</v>
      </c>
      <c r="G16" s="144">
        <f>97839.34+4148.95</f>
        <v>101988.29</v>
      </c>
      <c r="H16" s="144">
        <f>96696.52+4148.95</f>
        <v>100845.47</v>
      </c>
      <c r="I16" s="144">
        <f>96228.4+4190.95</f>
        <v>100419.34999999999</v>
      </c>
      <c r="J16" s="144">
        <f>98207.61+4336.95</f>
        <v>102544.56</v>
      </c>
      <c r="K16" s="144">
        <f>103128.1+4173.95</f>
        <v>107302.05</v>
      </c>
      <c r="L16" s="144">
        <f>103538.32+4165.95</f>
        <v>107704.27</v>
      </c>
      <c r="M16" s="144">
        <f>105228.07+4052.95</f>
        <v>109281.02</v>
      </c>
      <c r="N16" s="235">
        <f>99341.28+4000.95</f>
        <v>103342.23</v>
      </c>
      <c r="O16" s="145">
        <f t="shared" ref="O16:O21" si="0">SUM(C16:N16)</f>
        <v>1222977.55</v>
      </c>
      <c r="P16" s="40"/>
    </row>
    <row r="17" spans="1:16" ht="15.75" x14ac:dyDescent="0.25">
      <c r="A17" s="16"/>
      <c r="B17" s="189" t="s">
        <v>77</v>
      </c>
      <c r="C17" s="144">
        <f>294.9+13538.42+1138.7+512.98+918.6</f>
        <v>16403.599999999999</v>
      </c>
      <c r="D17" s="144">
        <f>19.9+60746.6+1138.7+561.37+918.57</f>
        <v>63385.14</v>
      </c>
      <c r="E17" s="220">
        <f>411.08+12637.22+1138.7+554.54+916.5</f>
        <v>15658.04</v>
      </c>
      <c r="F17" s="144">
        <f>1072.26+13243.69+1138.7+554.54+924.56</f>
        <v>16933.750000000004</v>
      </c>
      <c r="G17" s="144">
        <f>55.26+12496.49+1138.7+2447.12+1025.33</f>
        <v>17162.900000000001</v>
      </c>
      <c r="H17" s="144">
        <f>12514.21+547.64+1168.7+1220.08+1019.08</f>
        <v>16469.71</v>
      </c>
      <c r="I17" s="144">
        <f>216.52+13660.66+1131.49+536.89</f>
        <v>15545.56</v>
      </c>
      <c r="J17" s="144">
        <f>6223.7+13346.03+1129.41+597.84+949.68</f>
        <v>22246.66</v>
      </c>
      <c r="K17" s="144">
        <f>311.61+17234.64+1188.32+939.94+600.36</f>
        <v>20274.87</v>
      </c>
      <c r="L17" s="144">
        <f>3129.47+13473.25+1134.56+592.92+939.94</f>
        <v>19270.14</v>
      </c>
      <c r="M17" s="144">
        <f>440.16+14819.03+1142.46+612.41+803.97</f>
        <v>17818.030000000002</v>
      </c>
      <c r="N17" s="144">
        <f>13311.91+30351.85+1134.09+612.41</f>
        <v>45410.259999999995</v>
      </c>
      <c r="O17" s="145">
        <f t="shared" si="0"/>
        <v>286578.65999999997</v>
      </c>
    </row>
    <row r="18" spans="1:16" ht="15.75" x14ac:dyDescent="0.25">
      <c r="A18" s="16"/>
      <c r="B18" s="189" t="s">
        <v>78</v>
      </c>
      <c r="C18" s="144">
        <f>118759.05-C17-C16-C15</f>
        <v>5490.8500000000204</v>
      </c>
      <c r="D18" s="144">
        <f>178966.62-D17-D16-D15</f>
        <v>16759.759999999995</v>
      </c>
      <c r="E18" s="144">
        <f>147575.8-E17-E16-E15</f>
        <v>13289.429999999978</v>
      </c>
      <c r="F18" s="144">
        <f>148185.27-F17-F16-F15</f>
        <v>19326.359999999986</v>
      </c>
      <c r="G18" s="144">
        <f>144020.36-G17-G16-G15</f>
        <v>17635.419999999998</v>
      </c>
      <c r="H18" s="144">
        <f>148343.7-H15-H16-H17</f>
        <v>28947.270000000011</v>
      </c>
      <c r="I18" s="144">
        <f>128202.47-I17-I16-I15</f>
        <v>8122.5600000000122</v>
      </c>
      <c r="J18" s="144">
        <f>144222.34-J15-J16-J17</f>
        <v>16059.369999999999</v>
      </c>
      <c r="K18" s="144">
        <f>144151.82-K17-K16-K15</f>
        <v>9858.6500000000087</v>
      </c>
      <c r="L18" s="144">
        <f>158722.16-L17-L16-L15</f>
        <v>22184.250000000015</v>
      </c>
      <c r="M18" s="144">
        <f>151836.95-M17-M16-M15</f>
        <v>18046.150000000009</v>
      </c>
      <c r="N18" s="144">
        <f>176513.61-N15-N16-N17</f>
        <v>17468.369999999995</v>
      </c>
      <c r="O18" s="145">
        <f t="shared" si="0"/>
        <v>193188.44000000006</v>
      </c>
    </row>
    <row r="19" spans="1:16" ht="15.75" x14ac:dyDescent="0.25">
      <c r="A19" s="16"/>
      <c r="B19" s="189" t="s">
        <v>79</v>
      </c>
      <c r="C19" s="144"/>
      <c r="D19" s="144"/>
      <c r="E19" s="144"/>
      <c r="F19" s="144"/>
      <c r="G19" s="144"/>
      <c r="H19" s="144"/>
      <c r="I19" s="144"/>
      <c r="J19" s="144"/>
      <c r="K19" s="144"/>
      <c r="L19" s="157"/>
      <c r="M19" s="144"/>
      <c r="N19" s="144"/>
      <c r="O19" s="145">
        <f t="shared" si="0"/>
        <v>0</v>
      </c>
    </row>
    <row r="20" spans="1:16" ht="15" x14ac:dyDescent="0.25">
      <c r="A20" s="80"/>
      <c r="B20" s="81" t="s">
        <v>1</v>
      </c>
      <c r="C20" s="146">
        <f>SUM(C15:C19)</f>
        <v>118759.05</v>
      </c>
      <c r="D20" s="146">
        <f t="shared" ref="D20:N20" si="1">SUM(D15:D19)</f>
        <v>178966.62</v>
      </c>
      <c r="E20" s="146">
        <f t="shared" si="1"/>
        <v>147575.79999999999</v>
      </c>
      <c r="F20" s="146">
        <f t="shared" si="1"/>
        <v>148185.26999999999</v>
      </c>
      <c r="G20" s="146">
        <f t="shared" si="1"/>
        <v>144020.35999999999</v>
      </c>
      <c r="H20" s="146">
        <f t="shared" si="1"/>
        <v>148343.70000000001</v>
      </c>
      <c r="I20" s="146">
        <f t="shared" si="1"/>
        <v>128202.47</v>
      </c>
      <c r="J20" s="146">
        <f t="shared" si="1"/>
        <v>144222.34</v>
      </c>
      <c r="K20" s="146">
        <f t="shared" si="1"/>
        <v>144151.82</v>
      </c>
      <c r="L20" s="146">
        <f t="shared" si="1"/>
        <v>158722.16000000003</v>
      </c>
      <c r="M20" s="146">
        <f t="shared" si="1"/>
        <v>151836.95000000001</v>
      </c>
      <c r="N20" s="146">
        <f t="shared" si="1"/>
        <v>176513.61</v>
      </c>
      <c r="O20" s="147">
        <f t="shared" si="0"/>
        <v>1789500.1500000004</v>
      </c>
      <c r="P20" s="215"/>
    </row>
    <row r="21" spans="1:16" ht="15" x14ac:dyDescent="0.25">
      <c r="A21" s="16"/>
      <c r="B21" s="79">
        <v>2023</v>
      </c>
      <c r="C21" s="148">
        <v>146613.06</v>
      </c>
      <c r="D21" s="148">
        <v>161613.97000000003</v>
      </c>
      <c r="E21" s="148">
        <v>144129.72</v>
      </c>
      <c r="F21" s="148">
        <v>127083.36999999998</v>
      </c>
      <c r="G21" s="148">
        <v>110606.26</v>
      </c>
      <c r="H21" s="148">
        <v>122357.47</v>
      </c>
      <c r="I21" s="148">
        <v>127589.96000000002</v>
      </c>
      <c r="J21" s="148">
        <v>145406.19</v>
      </c>
      <c r="K21" s="148">
        <v>141530.34</v>
      </c>
      <c r="L21" s="148">
        <v>129191.61</v>
      </c>
      <c r="M21" s="148">
        <v>122766.33</v>
      </c>
      <c r="N21" s="148">
        <v>160531.20000000001</v>
      </c>
      <c r="O21" s="149">
        <f t="shared" si="0"/>
        <v>1639419.4800000002</v>
      </c>
      <c r="P21" s="40"/>
    </row>
    <row r="22" spans="1:16" ht="15" x14ac:dyDescent="0.25">
      <c r="A22" s="83" t="s">
        <v>2</v>
      </c>
      <c r="B22" s="85"/>
      <c r="C22" s="150"/>
      <c r="D22" s="150"/>
      <c r="E22" s="150"/>
      <c r="F22" s="150"/>
      <c r="G22" s="150"/>
      <c r="H22" s="150"/>
      <c r="I22" s="150"/>
      <c r="J22" s="150"/>
      <c r="K22" s="150"/>
      <c r="L22" s="150"/>
      <c r="M22" s="150"/>
      <c r="N22" s="150"/>
      <c r="O22" s="151"/>
      <c r="P22" s="233"/>
    </row>
    <row r="23" spans="1:16" ht="15.75" x14ac:dyDescent="0.25">
      <c r="A23" s="16"/>
      <c r="B23" s="189" t="s">
        <v>7</v>
      </c>
      <c r="C23" s="144">
        <f>62421.82-C24-C25</f>
        <v>36996.82</v>
      </c>
      <c r="D23" s="144">
        <f>62347.67-D24-D25</f>
        <v>36922.67</v>
      </c>
      <c r="E23" s="144">
        <f>64530.98-E24-E25</f>
        <v>39105.980000000003</v>
      </c>
      <c r="F23" s="144">
        <f>63871.31-F24-F25</f>
        <v>38446.31</v>
      </c>
      <c r="G23" s="144">
        <f>63837.46-G24-G25</f>
        <v>38412.46</v>
      </c>
      <c r="H23" s="144">
        <f>63186.28-H24-H25</f>
        <v>37761.279999999999</v>
      </c>
      <c r="I23" s="144">
        <f>63713.79-I24-I25</f>
        <v>38288.79</v>
      </c>
      <c r="J23" s="144">
        <f>63933.83-J24-J25</f>
        <v>38508.83</v>
      </c>
      <c r="K23" s="144">
        <f>62836.78-K24-K25</f>
        <v>37411.78</v>
      </c>
      <c r="L23" s="144">
        <f>64192.44-L24-L25</f>
        <v>38767.440000000002</v>
      </c>
      <c r="M23" s="144">
        <f>66415.12-M24-M25</f>
        <v>38990.119999999995</v>
      </c>
      <c r="N23" s="144">
        <f>87689.07-N24-N25</f>
        <v>38264.070000000007</v>
      </c>
      <c r="O23" s="145">
        <f>SUM(C23:N23)</f>
        <v>457876.55000000005</v>
      </c>
      <c r="P23" s="208"/>
    </row>
    <row r="24" spans="1:16" ht="15.75" x14ac:dyDescent="0.25">
      <c r="A24" s="16"/>
      <c r="B24" s="189" t="s">
        <v>135</v>
      </c>
      <c r="C24" s="144">
        <v>5000</v>
      </c>
      <c r="D24" s="144">
        <v>5000</v>
      </c>
      <c r="E24" s="144">
        <v>5000</v>
      </c>
      <c r="F24" s="144">
        <v>5000</v>
      </c>
      <c r="G24" s="144">
        <v>5000</v>
      </c>
      <c r="H24" s="144">
        <v>5000</v>
      </c>
      <c r="I24" s="144">
        <v>5000</v>
      </c>
      <c r="J24" s="144">
        <v>5000</v>
      </c>
      <c r="K24" s="144">
        <v>5000</v>
      </c>
      <c r="L24" s="144">
        <v>5000</v>
      </c>
      <c r="M24" s="144">
        <v>5000</v>
      </c>
      <c r="N24" s="144">
        <v>5000</v>
      </c>
      <c r="O24" s="145">
        <f>SUM(C24:N24)</f>
        <v>60000</v>
      </c>
      <c r="P24" s="229"/>
    </row>
    <row r="25" spans="1:16" ht="15.75" x14ac:dyDescent="0.25">
      <c r="A25" s="16"/>
      <c r="B25" s="189" t="s">
        <v>119</v>
      </c>
      <c r="C25" s="220">
        <f t="shared" ref="C25:L25" si="2">101100/12+12000</f>
        <v>20425</v>
      </c>
      <c r="D25" s="220">
        <f t="shared" si="2"/>
        <v>20425</v>
      </c>
      <c r="E25" s="220">
        <f t="shared" si="2"/>
        <v>20425</v>
      </c>
      <c r="F25" s="220">
        <f t="shared" si="2"/>
        <v>20425</v>
      </c>
      <c r="G25" s="220">
        <f t="shared" si="2"/>
        <v>20425</v>
      </c>
      <c r="H25" s="220">
        <f t="shared" si="2"/>
        <v>20425</v>
      </c>
      <c r="I25" s="220">
        <f t="shared" si="2"/>
        <v>20425</v>
      </c>
      <c r="J25" s="220">
        <f t="shared" si="2"/>
        <v>20425</v>
      </c>
      <c r="K25" s="220">
        <f t="shared" si="2"/>
        <v>20425</v>
      </c>
      <c r="L25" s="220">
        <f t="shared" si="2"/>
        <v>20425</v>
      </c>
      <c r="M25" s="220">
        <f>101100/12+12000+2000</f>
        <v>22425</v>
      </c>
      <c r="N25" s="234">
        <f>101100/12+12000+24000</f>
        <v>44425</v>
      </c>
      <c r="O25" s="145">
        <f>SUM(C25:N25)</f>
        <v>271100</v>
      </c>
      <c r="P25" s="208"/>
    </row>
    <row r="26" spans="1:16" ht="15.75" x14ac:dyDescent="0.25">
      <c r="A26" s="16"/>
      <c r="B26" s="189" t="s">
        <v>81</v>
      </c>
      <c r="C26" s="144">
        <f>11406.98</f>
        <v>11406.98</v>
      </c>
      <c r="D26" s="226">
        <f>(24690.41+48109.38)</f>
        <v>72799.789999999994</v>
      </c>
      <c r="E26" s="226">
        <f>(62800.55-48109.38)</f>
        <v>14691.170000000006</v>
      </c>
      <c r="F26" s="220">
        <v>22939.55</v>
      </c>
      <c r="G26" s="220">
        <v>20652.12</v>
      </c>
      <c r="H26" s="144">
        <v>33620.339999999997</v>
      </c>
      <c r="I26" s="144">
        <v>17131.48</v>
      </c>
      <c r="J26" s="144">
        <v>26156.67</v>
      </c>
      <c r="K26" s="144">
        <v>18184.53</v>
      </c>
      <c r="L26" s="144">
        <v>35117.97</v>
      </c>
      <c r="M26" s="144">
        <v>26255.91</v>
      </c>
      <c r="N26" s="144">
        <v>27495.67</v>
      </c>
      <c r="O26" s="145">
        <f>SUM(C26:N26)</f>
        <v>326452.18</v>
      </c>
      <c r="P26" s="208"/>
    </row>
    <row r="27" spans="1:16" ht="15.75" x14ac:dyDescent="0.25">
      <c r="A27" s="16"/>
      <c r="B27" s="189" t="s">
        <v>8</v>
      </c>
      <c r="C27" s="144">
        <f>107615.3-C23-C24-C25</f>
        <v>45193.48000000001</v>
      </c>
      <c r="D27" s="144">
        <f>101749.73-D23-D24-D25</f>
        <v>39402.06</v>
      </c>
      <c r="E27" s="144">
        <f>107106.51-E23-E24-E25</f>
        <v>42575.53</v>
      </c>
      <c r="F27" s="144">
        <f>(117011.89)-F23-F24-F25</f>
        <v>53140.58</v>
      </c>
      <c r="G27" s="224">
        <f>(117671.95)-G23-G24-G25</f>
        <v>53834.489999999991</v>
      </c>
      <c r="H27" s="144">
        <f>(107164.47)-H23-H24-H25</f>
        <v>43978.19</v>
      </c>
      <c r="I27" s="144">
        <f>(108398.5)-I23-I24-I25</f>
        <v>44684.709999999992</v>
      </c>
      <c r="J27" s="144">
        <f>(112269.24)-J23-J24-J25</f>
        <v>48335.41</v>
      </c>
      <c r="K27" s="144">
        <f>(107285.4)-K23-K24-K25</f>
        <v>44448.619999999995</v>
      </c>
      <c r="L27" s="144">
        <f>(104054.11)-L23-L24-L25</f>
        <v>39861.67</v>
      </c>
      <c r="M27" s="144">
        <f>(113045.56)-M23-M24-M25</f>
        <v>46630.44</v>
      </c>
      <c r="N27" s="144">
        <f>(152088.1-4711.01)-N23-N24-N25</f>
        <v>59688.01999999999</v>
      </c>
      <c r="O27" s="145">
        <f>SUM(C27:N27)</f>
        <v>561773.20000000007</v>
      </c>
      <c r="P27" s="208"/>
    </row>
    <row r="28" spans="1:16" ht="15" x14ac:dyDescent="0.25">
      <c r="A28" s="80"/>
      <c r="B28" s="81" t="s">
        <v>15</v>
      </c>
      <c r="C28" s="146">
        <f t="shared" ref="C28:O28" si="3">SUM(C23:C27)</f>
        <v>119022.28000000001</v>
      </c>
      <c r="D28" s="146">
        <f t="shared" si="3"/>
        <v>174549.52</v>
      </c>
      <c r="E28" s="146">
        <f t="shared" si="3"/>
        <v>121797.68000000001</v>
      </c>
      <c r="F28" s="146">
        <f t="shared" si="3"/>
        <v>139951.44</v>
      </c>
      <c r="G28" s="146">
        <f t="shared" si="3"/>
        <v>138324.07</v>
      </c>
      <c r="H28" s="146">
        <f t="shared" si="3"/>
        <v>140784.81</v>
      </c>
      <c r="I28" s="146">
        <f t="shared" si="3"/>
        <v>125529.98</v>
      </c>
      <c r="J28" s="146">
        <f t="shared" si="3"/>
        <v>138425.91</v>
      </c>
      <c r="K28" s="146">
        <f t="shared" si="3"/>
        <v>125469.93</v>
      </c>
      <c r="L28" s="146">
        <f t="shared" si="3"/>
        <v>139172.08000000002</v>
      </c>
      <c r="M28" s="146">
        <f t="shared" si="3"/>
        <v>139301.47</v>
      </c>
      <c r="N28" s="146">
        <f t="shared" si="3"/>
        <v>174872.76</v>
      </c>
      <c r="O28" s="146">
        <f t="shared" si="3"/>
        <v>1677201.9300000002</v>
      </c>
      <c r="P28" s="229"/>
    </row>
    <row r="29" spans="1:16" ht="15" x14ac:dyDescent="0.25">
      <c r="A29" s="16"/>
      <c r="B29" s="79">
        <v>2023</v>
      </c>
      <c r="C29" s="148">
        <v>143402.99</v>
      </c>
      <c r="D29" s="148">
        <v>170166.6</v>
      </c>
      <c r="E29" s="148">
        <v>145511.70000000001</v>
      </c>
      <c r="F29" s="148">
        <v>144206.54</v>
      </c>
      <c r="G29" s="148">
        <v>136019.29999999999</v>
      </c>
      <c r="H29" s="148">
        <v>128899.29</v>
      </c>
      <c r="I29" s="148">
        <v>126612.76</v>
      </c>
      <c r="J29" s="148">
        <v>136438.97999999998</v>
      </c>
      <c r="K29" s="148">
        <v>121171.95</v>
      </c>
      <c r="L29" s="148">
        <v>134093.19</v>
      </c>
      <c r="M29" s="148">
        <v>127933.08</v>
      </c>
      <c r="N29" s="148">
        <v>156068.5</v>
      </c>
      <c r="O29" s="149">
        <f>SUM(C29:N29)</f>
        <v>1670524.88</v>
      </c>
      <c r="P29" s="208"/>
    </row>
    <row r="30" spans="1:16" ht="15" x14ac:dyDescent="0.25">
      <c r="A30" s="83" t="s">
        <v>3</v>
      </c>
      <c r="B30" s="85"/>
      <c r="C30" s="150"/>
      <c r="D30" s="150"/>
      <c r="E30" s="150"/>
      <c r="F30" s="150"/>
      <c r="G30" s="150"/>
      <c r="H30" s="150"/>
      <c r="I30" s="150"/>
      <c r="J30" s="150"/>
      <c r="K30" s="150"/>
      <c r="L30" s="150"/>
      <c r="M30" s="150"/>
      <c r="N30" s="150"/>
      <c r="O30" s="151"/>
    </row>
    <row r="31" spans="1:16" ht="15" x14ac:dyDescent="0.25">
      <c r="A31" s="80"/>
      <c r="B31" s="62" t="s">
        <v>9</v>
      </c>
      <c r="C31" s="146">
        <f>C20-C28</f>
        <v>-263.23000000001048</v>
      </c>
      <c r="D31" s="146">
        <f t="shared" ref="D31:N31" si="4">D20-D28</f>
        <v>4417.1000000000058</v>
      </c>
      <c r="E31" s="146">
        <f t="shared" si="4"/>
        <v>25778.119999999981</v>
      </c>
      <c r="F31" s="146">
        <f t="shared" si="4"/>
        <v>8233.8299999999872</v>
      </c>
      <c r="G31" s="146">
        <f t="shared" si="4"/>
        <v>5696.289999999979</v>
      </c>
      <c r="H31" s="146">
        <f t="shared" si="4"/>
        <v>7558.890000000014</v>
      </c>
      <c r="I31" s="146">
        <f t="shared" si="4"/>
        <v>2672.4900000000052</v>
      </c>
      <c r="J31" s="146">
        <f t="shared" si="4"/>
        <v>5796.429999999993</v>
      </c>
      <c r="K31" s="146">
        <f t="shared" si="4"/>
        <v>18681.890000000014</v>
      </c>
      <c r="L31" s="146">
        <f t="shared" si="4"/>
        <v>19550.080000000016</v>
      </c>
      <c r="M31" s="146">
        <f t="shared" si="4"/>
        <v>12535.48000000001</v>
      </c>
      <c r="N31" s="146">
        <f t="shared" si="4"/>
        <v>1640.8499999999767</v>
      </c>
      <c r="O31" s="147">
        <f>SUM(C31:N31)</f>
        <v>112298.21999999997</v>
      </c>
      <c r="P31" s="229"/>
    </row>
    <row r="32" spans="1:16" ht="15" x14ac:dyDescent="0.25">
      <c r="A32" s="16"/>
      <c r="B32" s="79">
        <v>2023</v>
      </c>
      <c r="C32" s="148">
        <v>3210.070000000007</v>
      </c>
      <c r="D32" s="148">
        <v>-8552.6299999999756</v>
      </c>
      <c r="E32" s="148">
        <v>-1381.9800000000105</v>
      </c>
      <c r="F32" s="148">
        <v>-17123.170000000027</v>
      </c>
      <c r="G32" s="148">
        <v>-25413.039999999994</v>
      </c>
      <c r="H32" s="148">
        <v>-6541.8199999999924</v>
      </c>
      <c r="I32" s="148">
        <v>977.20000000002619</v>
      </c>
      <c r="J32" s="148">
        <v>8967.210000000021</v>
      </c>
      <c r="K32" s="148">
        <v>20358.39</v>
      </c>
      <c r="L32" s="148">
        <v>-4901.5800000000017</v>
      </c>
      <c r="M32" s="148">
        <v>-5166.75</v>
      </c>
      <c r="N32" s="148">
        <v>4462.7000000000116</v>
      </c>
      <c r="O32" s="149">
        <f>SUM(C32:N32)</f>
        <v>-31105.399999999936</v>
      </c>
      <c r="P32" s="208"/>
    </row>
    <row r="33" spans="1:16" ht="15" x14ac:dyDescent="0.25">
      <c r="A33" s="83" t="s">
        <v>6</v>
      </c>
      <c r="B33" s="85"/>
      <c r="C33" s="152"/>
      <c r="D33" s="152"/>
      <c r="E33" s="152"/>
      <c r="F33" s="152"/>
      <c r="G33" s="152"/>
      <c r="H33" s="152"/>
      <c r="I33" s="152"/>
      <c r="J33" s="152"/>
      <c r="K33" s="152"/>
      <c r="L33" s="152"/>
      <c r="M33" s="152"/>
      <c r="N33" s="152"/>
      <c r="O33" s="153"/>
      <c r="P33" s="208"/>
    </row>
    <row r="34" spans="1:16" ht="15.75" x14ac:dyDescent="0.25">
      <c r="A34" s="16"/>
      <c r="B34" s="189" t="s">
        <v>82</v>
      </c>
      <c r="C34" s="154">
        <v>8.5</v>
      </c>
      <c r="D34" s="154">
        <v>8.5</v>
      </c>
      <c r="E34" s="154">
        <v>8.5</v>
      </c>
      <c r="F34" s="154">
        <v>8.5</v>
      </c>
      <c r="G34" s="154">
        <v>8.5</v>
      </c>
      <c r="H34" s="154">
        <v>8.5</v>
      </c>
      <c r="I34" s="154">
        <v>8.5</v>
      </c>
      <c r="J34" s="154">
        <v>8.5</v>
      </c>
      <c r="K34" s="154">
        <v>8.5</v>
      </c>
      <c r="L34" s="154">
        <v>8.5</v>
      </c>
      <c r="M34" s="154">
        <v>8.5</v>
      </c>
      <c r="N34" s="154">
        <v>8.5</v>
      </c>
      <c r="O34" s="145"/>
      <c r="P34" s="40"/>
    </row>
    <row r="35" spans="1:16" ht="15.75" x14ac:dyDescent="0.25">
      <c r="A35" s="16"/>
      <c r="B35" s="189" t="s">
        <v>83</v>
      </c>
      <c r="C35" s="154">
        <v>5.5</v>
      </c>
      <c r="D35" s="154">
        <v>5.5</v>
      </c>
      <c r="E35" s="154">
        <v>5.5</v>
      </c>
      <c r="F35" s="154">
        <v>5.5</v>
      </c>
      <c r="G35" s="154">
        <v>5.5</v>
      </c>
      <c r="H35" s="154">
        <v>5.5</v>
      </c>
      <c r="I35" s="154">
        <v>5.5</v>
      </c>
      <c r="J35" s="154">
        <v>5.5</v>
      </c>
      <c r="K35" s="154">
        <v>5.5</v>
      </c>
      <c r="L35" s="154">
        <v>5.5</v>
      </c>
      <c r="M35" s="154">
        <v>5.5</v>
      </c>
      <c r="N35" s="154">
        <v>5.5</v>
      </c>
      <c r="O35" s="155"/>
    </row>
    <row r="36" spans="1:16" ht="15.75" x14ac:dyDescent="0.25">
      <c r="A36" s="16"/>
      <c r="B36" s="189" t="s">
        <v>84</v>
      </c>
      <c r="C36" s="102">
        <f>467</f>
        <v>467</v>
      </c>
      <c r="D36" s="102">
        <f>472</f>
        <v>472</v>
      </c>
      <c r="E36" s="102">
        <f>493</f>
        <v>493</v>
      </c>
      <c r="F36" s="102">
        <f>500</f>
        <v>500</v>
      </c>
      <c r="G36" s="102">
        <f>504</f>
        <v>504</v>
      </c>
      <c r="H36" s="102">
        <f>504</f>
        <v>504</v>
      </c>
      <c r="I36" s="154">
        <v>496</v>
      </c>
      <c r="J36" s="154">
        <v>511</v>
      </c>
      <c r="K36" s="154">
        <v>529</v>
      </c>
      <c r="L36" s="154">
        <v>532</v>
      </c>
      <c r="M36" s="154">
        <v>539</v>
      </c>
      <c r="N36" s="154">
        <v>539</v>
      </c>
      <c r="O36" s="145"/>
    </row>
    <row r="37" spans="1:16" ht="15.75" x14ac:dyDescent="0.25">
      <c r="A37" s="16"/>
      <c r="B37" s="189" t="s">
        <v>10</v>
      </c>
      <c r="C37" s="154">
        <v>34</v>
      </c>
      <c r="D37" s="154">
        <v>34</v>
      </c>
      <c r="E37" s="154">
        <v>35</v>
      </c>
      <c r="F37" s="154">
        <v>35</v>
      </c>
      <c r="G37" s="154">
        <v>35</v>
      </c>
      <c r="H37" s="154">
        <v>34</v>
      </c>
      <c r="I37" s="154">
        <v>35</v>
      </c>
      <c r="J37" s="154">
        <v>35</v>
      </c>
      <c r="K37" s="154">
        <v>35</v>
      </c>
      <c r="L37" s="154">
        <v>35</v>
      </c>
      <c r="M37" s="154">
        <v>35</v>
      </c>
      <c r="N37" s="154">
        <v>35</v>
      </c>
      <c r="O37" s="155"/>
    </row>
    <row r="38" spans="1:16" ht="15" x14ac:dyDescent="0.25">
      <c r="A38" s="16"/>
      <c r="B38" s="5"/>
      <c r="C38" s="120"/>
      <c r="D38" s="120"/>
      <c r="E38" s="120"/>
      <c r="F38" s="120"/>
      <c r="G38" s="120"/>
      <c r="H38" s="120"/>
      <c r="I38" s="120"/>
      <c r="J38" s="120"/>
      <c r="K38" s="120"/>
      <c r="L38" s="120"/>
      <c r="M38" s="120"/>
      <c r="N38" s="120"/>
      <c r="O38" s="156"/>
    </row>
    <row r="39" spans="1:16" ht="15" x14ac:dyDescent="0.25">
      <c r="A39" s="83" t="s">
        <v>4</v>
      </c>
      <c r="B39" s="85"/>
      <c r="C39" s="152"/>
      <c r="D39" s="152"/>
      <c r="E39" s="152"/>
      <c r="F39" s="152"/>
      <c r="G39" s="152"/>
      <c r="H39" s="152"/>
      <c r="I39" s="152"/>
      <c r="J39" s="152"/>
      <c r="K39" s="152"/>
      <c r="L39" s="152"/>
      <c r="M39" s="152"/>
      <c r="N39" s="152"/>
      <c r="O39" s="153"/>
    </row>
    <row r="40" spans="1:16" ht="15.75" x14ac:dyDescent="0.25">
      <c r="A40" s="16"/>
      <c r="B40" s="189" t="s">
        <v>85</v>
      </c>
      <c r="C40" s="154"/>
      <c r="D40" s="154"/>
      <c r="E40" s="154"/>
      <c r="F40" s="154"/>
      <c r="G40" s="154"/>
      <c r="H40" s="154"/>
      <c r="I40" s="154"/>
      <c r="J40" s="154">
        <v>0</v>
      </c>
      <c r="K40" s="154">
        <v>0</v>
      </c>
      <c r="L40" s="154">
        <v>0</v>
      </c>
      <c r="M40" s="154">
        <v>0</v>
      </c>
      <c r="N40" s="154">
        <v>0</v>
      </c>
      <c r="O40" s="155"/>
    </row>
    <row r="41" spans="1:16" ht="15.75" x14ac:dyDescent="0.25">
      <c r="A41" s="16"/>
      <c r="B41" s="189" t="s">
        <v>86</v>
      </c>
      <c r="C41" s="154">
        <v>3</v>
      </c>
      <c r="D41" s="154">
        <v>4</v>
      </c>
      <c r="E41" s="154">
        <v>5</v>
      </c>
      <c r="F41" s="154">
        <v>2</v>
      </c>
      <c r="G41" s="154">
        <v>2</v>
      </c>
      <c r="H41" s="154"/>
      <c r="I41" s="154"/>
      <c r="J41" s="154">
        <v>0</v>
      </c>
      <c r="K41" s="154">
        <v>0</v>
      </c>
      <c r="L41" s="154">
        <v>0</v>
      </c>
      <c r="M41" s="154">
        <v>1</v>
      </c>
      <c r="N41" s="154">
        <v>1</v>
      </c>
      <c r="O41" s="155">
        <f>SUM(C41:N41)</f>
        <v>18</v>
      </c>
    </row>
    <row r="42" spans="1:16" ht="15.75" x14ac:dyDescent="0.25">
      <c r="A42" s="16"/>
      <c r="B42" s="189" t="s">
        <v>11</v>
      </c>
      <c r="C42" s="154"/>
      <c r="D42" s="154"/>
      <c r="E42" s="154"/>
      <c r="F42" s="154"/>
      <c r="G42" s="154"/>
      <c r="H42" s="154"/>
      <c r="I42" s="154"/>
      <c r="J42" s="154">
        <v>0</v>
      </c>
      <c r="K42" s="154">
        <v>0</v>
      </c>
      <c r="L42" s="154">
        <v>0</v>
      </c>
      <c r="M42" s="154">
        <v>1</v>
      </c>
      <c r="N42" s="154"/>
      <c r="O42" s="155">
        <f>SUM(C42:N42)</f>
        <v>1</v>
      </c>
    </row>
    <row r="43" spans="1:16" ht="15.75" x14ac:dyDescent="0.25">
      <c r="A43" s="16"/>
      <c r="B43" s="189" t="s">
        <v>12</v>
      </c>
      <c r="C43" s="154">
        <v>2</v>
      </c>
      <c r="D43" s="154">
        <v>0</v>
      </c>
      <c r="E43" s="154">
        <v>1</v>
      </c>
      <c r="F43" s="154">
        <v>0</v>
      </c>
      <c r="G43" s="154">
        <v>0</v>
      </c>
      <c r="H43" s="154">
        <v>0</v>
      </c>
      <c r="I43" s="154">
        <v>0</v>
      </c>
      <c r="J43" s="154">
        <v>0</v>
      </c>
      <c r="K43" s="154">
        <v>0</v>
      </c>
      <c r="L43" s="154">
        <v>0</v>
      </c>
      <c r="M43" s="154">
        <v>0</v>
      </c>
      <c r="N43" s="154">
        <v>0</v>
      </c>
      <c r="O43" s="155">
        <f>SUM(C43:N43)</f>
        <v>3</v>
      </c>
    </row>
    <row r="44" spans="1:16" ht="15.75" x14ac:dyDescent="0.25">
      <c r="A44" s="16"/>
      <c r="B44" s="189" t="s">
        <v>87</v>
      </c>
      <c r="C44" s="225">
        <f>2568+365</f>
        <v>2933</v>
      </c>
      <c r="D44" s="225"/>
      <c r="E44" s="225">
        <v>6595</v>
      </c>
      <c r="F44" s="225"/>
      <c r="G44" s="225"/>
      <c r="H44" s="225"/>
      <c r="I44" s="225">
        <v>100</v>
      </c>
      <c r="J44" s="225">
        <v>0</v>
      </c>
      <c r="K44" s="225">
        <v>0</v>
      </c>
      <c r="L44" s="225">
        <v>0</v>
      </c>
      <c r="M44" s="225">
        <v>0</v>
      </c>
      <c r="N44" s="225"/>
      <c r="O44" s="230">
        <f>SUM(C44:N44)</f>
        <v>9628</v>
      </c>
    </row>
    <row r="45" spans="1:16" ht="15.75" x14ac:dyDescent="0.25">
      <c r="A45" s="16"/>
      <c r="B45" s="189" t="s">
        <v>88</v>
      </c>
      <c r="C45" s="225"/>
      <c r="D45" s="225"/>
      <c r="E45" s="225"/>
      <c r="F45" s="225"/>
      <c r="G45" s="225"/>
      <c r="H45" s="225">
        <f>504.4+275.28</f>
        <v>779.68</v>
      </c>
      <c r="I45" s="225"/>
      <c r="J45" s="225">
        <v>0</v>
      </c>
      <c r="K45" s="225">
        <v>0</v>
      </c>
      <c r="L45" s="225">
        <v>0</v>
      </c>
      <c r="M45" s="225">
        <v>0</v>
      </c>
      <c r="N45" s="225"/>
      <c r="O45" s="230">
        <f>SUM(C45:N45)</f>
        <v>779.68</v>
      </c>
    </row>
    <row r="46" spans="1:16" ht="15.75" thickBot="1" x14ac:dyDescent="0.3">
      <c r="A46" s="18"/>
      <c r="B46" s="190"/>
      <c r="C46" s="227"/>
      <c r="D46" s="227"/>
      <c r="E46" s="227"/>
      <c r="F46" s="227"/>
      <c r="G46" s="227"/>
      <c r="H46" s="227"/>
      <c r="I46" s="227"/>
      <c r="J46" s="227"/>
      <c r="K46" s="227"/>
      <c r="L46" s="227"/>
      <c r="M46" s="227"/>
      <c r="N46" s="228"/>
      <c r="O46" s="87"/>
    </row>
    <row r="47" spans="1:16" x14ac:dyDescent="0.2">
      <c r="B47" s="213"/>
    </row>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sheetData>
  <mergeCells count="1">
    <mergeCell ref="A3:O3"/>
  </mergeCells>
  <printOptions horizontalCentered="1"/>
  <pageMargins left="0.7" right="0.7" top="0.75" bottom="0.75" header="0.3" footer="0.3"/>
  <pageSetup scale="55" orientation="landscape" r:id="rId1"/>
  <headerFooter>
    <oddHeader>&amp;R&amp;D</oddHeader>
    <oddFooter>&amp;R&amp;Z&amp;F</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sheetPr>
  <dimension ref="A150:F150"/>
  <sheetViews>
    <sheetView zoomScaleNormal="100" workbookViewId="0">
      <selection activeCell="S6" sqref="S6"/>
    </sheetView>
  </sheetViews>
  <sheetFormatPr defaultRowHeight="12.75" x14ac:dyDescent="0.2"/>
  <sheetData>
    <row r="150" spans="1:6" ht="26.25" x14ac:dyDescent="0.4">
      <c r="A150" s="245"/>
      <c r="B150" s="245"/>
      <c r="C150" s="245"/>
      <c r="D150" s="245"/>
      <c r="E150" s="245"/>
      <c r="F150" s="245"/>
    </row>
  </sheetData>
  <sheetProtection selectLockedCells="1"/>
  <mergeCells count="1">
    <mergeCell ref="A150:F150"/>
  </mergeCells>
  <printOptions horizontalCentered="1"/>
  <pageMargins left="0.2" right="0.2" top="1.23" bottom="0.75" header="0.3" footer="0.3"/>
  <pageSetup fitToHeight="4" orientation="landscape" r:id="rId1"/>
  <headerFooter>
    <oddFooter>&amp;R.</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sheetPr>
  <dimension ref="A150:F150"/>
  <sheetViews>
    <sheetView zoomScaleNormal="100" workbookViewId="0">
      <selection activeCell="X31" sqref="X31"/>
    </sheetView>
  </sheetViews>
  <sheetFormatPr defaultRowHeight="12.75" x14ac:dyDescent="0.2"/>
  <sheetData>
    <row r="150" spans="1:6" ht="26.25" x14ac:dyDescent="0.4">
      <c r="A150" s="245"/>
      <c r="B150" s="245"/>
      <c r="C150" s="245"/>
      <c r="D150" s="245"/>
      <c r="E150" s="245"/>
      <c r="F150" s="245"/>
    </row>
  </sheetData>
  <sheetProtection selectLockedCells="1"/>
  <mergeCells count="1">
    <mergeCell ref="A150:F150"/>
  </mergeCells>
  <printOptions horizontalCentered="1"/>
  <pageMargins left="0.2" right="0.2" top="1.23" bottom="0.75" header="0.3" footer="0.3"/>
  <pageSetup fitToHeight="4" orientation="landscape" r:id="rId1"/>
  <headerFooter>
    <oddFooter>&amp;R© 2009 TruMethods, LLC.</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38:F150"/>
  <sheetViews>
    <sheetView zoomScale="145" zoomScaleNormal="145" workbookViewId="0">
      <selection activeCell="R24" sqref="R24"/>
    </sheetView>
  </sheetViews>
  <sheetFormatPr defaultRowHeight="12.75" x14ac:dyDescent="0.2"/>
  <sheetData>
    <row r="38" spans="1:1" x14ac:dyDescent="0.2">
      <c r="A38" s="206"/>
    </row>
    <row r="150" spans="1:6" ht="26.25" x14ac:dyDescent="0.4">
      <c r="A150" s="245"/>
      <c r="B150" s="245"/>
      <c r="C150" s="245"/>
      <c r="D150" s="245"/>
      <c r="E150" s="245"/>
      <c r="F150" s="245"/>
    </row>
  </sheetData>
  <sheetProtection selectLockedCells="1"/>
  <mergeCells count="1">
    <mergeCell ref="A150:F150"/>
  </mergeCells>
  <printOptions horizontalCentered="1"/>
  <pageMargins left="0.2" right="0.2" top="1.23" bottom="0.75" header="0.3" footer="0.3"/>
  <pageSetup fitToHeight="4" orientation="landscape" r:id="rId1"/>
  <headerFooter>
    <oddFooter>&amp;R© 2009 TruMethods, LLC.</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249977111117893"/>
  </sheetPr>
  <dimension ref="A1:N58"/>
  <sheetViews>
    <sheetView topLeftCell="A32" workbookViewId="0">
      <selection activeCell="A64" sqref="A64"/>
    </sheetView>
  </sheetViews>
  <sheetFormatPr defaultRowHeight="12.75" x14ac:dyDescent="0.2"/>
  <cols>
    <col min="1" max="1" width="17.140625" customWidth="1"/>
    <col min="2" max="2" width="28.5703125" bestFit="1" customWidth="1"/>
    <col min="3" max="6" width="13.28515625" style="35" customWidth="1"/>
    <col min="7" max="7" width="17.140625" customWidth="1"/>
    <col min="8" max="8" width="18.42578125" customWidth="1"/>
    <col min="9" max="9" width="16.140625" customWidth="1"/>
    <col min="10" max="10" width="13" customWidth="1"/>
    <col min="11" max="11" width="12.5703125" customWidth="1"/>
    <col min="12" max="12" width="11.42578125" customWidth="1"/>
    <col min="13" max="13" width="13.5703125" customWidth="1"/>
    <col min="14" max="14" width="13" customWidth="1"/>
  </cols>
  <sheetData>
    <row r="1" spans="1:14" x14ac:dyDescent="0.2">
      <c r="C1" s="33"/>
      <c r="D1" s="33"/>
      <c r="E1" s="33"/>
      <c r="F1" s="33"/>
    </row>
    <row r="2" spans="1:14" ht="15" x14ac:dyDescent="0.25">
      <c r="A2" s="3" t="s">
        <v>17</v>
      </c>
      <c r="B2" s="39" t="s">
        <v>56</v>
      </c>
      <c r="C2" s="34">
        <v>0.15</v>
      </c>
      <c r="D2" s="34">
        <v>0.15</v>
      </c>
      <c r="E2" s="34">
        <v>0.15</v>
      </c>
      <c r="F2" s="34">
        <v>0.15</v>
      </c>
      <c r="G2" s="34">
        <v>0.15</v>
      </c>
      <c r="H2" s="34">
        <v>0.15</v>
      </c>
      <c r="I2" s="34">
        <v>0.15</v>
      </c>
      <c r="J2" s="34">
        <v>0.15</v>
      </c>
      <c r="K2" s="34">
        <v>0.15</v>
      </c>
      <c r="L2" s="34">
        <v>0.15</v>
      </c>
      <c r="M2" s="34">
        <v>0.15</v>
      </c>
      <c r="N2" s="34">
        <v>0.15</v>
      </c>
    </row>
    <row r="3" spans="1:14" ht="15" x14ac:dyDescent="0.25">
      <c r="B3" s="3" t="s">
        <v>57</v>
      </c>
      <c r="C3" s="34">
        <v>0.25</v>
      </c>
      <c r="D3" s="34">
        <v>0.25</v>
      </c>
      <c r="E3" s="34">
        <v>0.25</v>
      </c>
      <c r="F3" s="34">
        <v>0.25</v>
      </c>
      <c r="G3" s="34">
        <v>0.25</v>
      </c>
      <c r="H3" s="34">
        <v>0.25</v>
      </c>
      <c r="I3" s="34">
        <v>0.25</v>
      </c>
      <c r="J3" s="34">
        <v>0.25</v>
      </c>
      <c r="K3" s="34">
        <v>0.25</v>
      </c>
      <c r="L3" s="34">
        <v>0.25</v>
      </c>
      <c r="M3" s="34">
        <v>0.25</v>
      </c>
      <c r="N3" s="34">
        <v>0.25</v>
      </c>
    </row>
    <row r="4" spans="1:14" ht="15" x14ac:dyDescent="0.25">
      <c r="B4" s="3" t="s">
        <v>58</v>
      </c>
      <c r="C4" s="34">
        <v>0.35</v>
      </c>
      <c r="D4" s="34">
        <v>0.35</v>
      </c>
      <c r="E4" s="34">
        <v>0.35</v>
      </c>
      <c r="F4" s="34">
        <v>0.35</v>
      </c>
      <c r="G4" s="34">
        <v>0.35</v>
      </c>
      <c r="H4" s="34">
        <v>0.35</v>
      </c>
      <c r="I4" s="34">
        <v>0.35</v>
      </c>
      <c r="J4" s="34">
        <v>0.35</v>
      </c>
      <c r="K4" s="34">
        <v>0.35</v>
      </c>
      <c r="L4" s="34">
        <v>0.35</v>
      </c>
      <c r="M4" s="34">
        <v>0.35</v>
      </c>
      <c r="N4" s="34">
        <v>0.35</v>
      </c>
    </row>
    <row r="6" spans="1:14" ht="15" x14ac:dyDescent="0.25">
      <c r="B6" s="3" t="s">
        <v>18</v>
      </c>
      <c r="C6" s="34">
        <v>0.5</v>
      </c>
      <c r="D6" s="34">
        <v>0.5</v>
      </c>
      <c r="E6" s="34">
        <v>0.5</v>
      </c>
      <c r="F6" s="34">
        <v>0.5</v>
      </c>
      <c r="G6" s="34">
        <v>0.5</v>
      </c>
      <c r="H6" s="34">
        <v>0.5</v>
      </c>
      <c r="I6" s="34">
        <v>0.5</v>
      </c>
      <c r="J6" s="34">
        <v>0.5</v>
      </c>
      <c r="K6" s="34">
        <v>0.5</v>
      </c>
      <c r="L6" s="34">
        <v>0.5</v>
      </c>
      <c r="M6" s="34">
        <v>0.5</v>
      </c>
      <c r="N6" s="34">
        <v>0.5</v>
      </c>
    </row>
    <row r="7" spans="1:14" ht="15" x14ac:dyDescent="0.25">
      <c r="B7" s="3" t="s">
        <v>18</v>
      </c>
      <c r="C7" s="34">
        <v>0.7</v>
      </c>
      <c r="D7" s="34">
        <v>0.7</v>
      </c>
      <c r="E7" s="34">
        <v>0.7</v>
      </c>
      <c r="F7" s="34">
        <v>0.7</v>
      </c>
      <c r="G7" s="34">
        <v>0.7</v>
      </c>
      <c r="H7" s="34">
        <v>0.7</v>
      </c>
      <c r="I7" s="34">
        <v>0.7</v>
      </c>
      <c r="J7" s="34">
        <v>0.7</v>
      </c>
      <c r="K7" s="34">
        <v>0.7</v>
      </c>
      <c r="L7" s="34">
        <v>0.7</v>
      </c>
      <c r="M7" s="34">
        <v>0.7</v>
      </c>
      <c r="N7" s="34">
        <v>0.7</v>
      </c>
    </row>
    <row r="8" spans="1:14" ht="15" x14ac:dyDescent="0.25">
      <c r="B8" s="3" t="s">
        <v>18</v>
      </c>
      <c r="C8" s="34">
        <v>0.8</v>
      </c>
      <c r="D8" s="34">
        <v>0.8</v>
      </c>
      <c r="E8" s="34">
        <v>0.8</v>
      </c>
      <c r="F8" s="34">
        <v>0.8</v>
      </c>
      <c r="G8" s="34">
        <v>0.8</v>
      </c>
      <c r="H8" s="34">
        <v>0.8</v>
      </c>
      <c r="I8" s="34">
        <v>0.8</v>
      </c>
      <c r="J8" s="34">
        <v>0.8</v>
      </c>
      <c r="K8" s="34">
        <v>0.8</v>
      </c>
      <c r="L8" s="34">
        <v>0.8</v>
      </c>
      <c r="M8" s="34">
        <v>0.8</v>
      </c>
      <c r="N8" s="34">
        <v>0.8</v>
      </c>
    </row>
    <row r="10" spans="1:14" ht="15" x14ac:dyDescent="0.25">
      <c r="B10" s="3" t="s">
        <v>19</v>
      </c>
      <c r="C10" s="34">
        <v>0.55000000000000004</v>
      </c>
      <c r="D10" s="34">
        <v>0.55000000000000004</v>
      </c>
      <c r="E10" s="34">
        <v>0.55000000000000004</v>
      </c>
      <c r="F10" s="34">
        <v>0.55000000000000004</v>
      </c>
      <c r="G10" s="34">
        <v>0.55000000000000004</v>
      </c>
      <c r="H10" s="34">
        <v>0.55000000000000004</v>
      </c>
      <c r="I10" s="34">
        <v>0.55000000000000004</v>
      </c>
      <c r="J10" s="34">
        <v>0.55000000000000004</v>
      </c>
      <c r="K10" s="34">
        <v>0.55000000000000004</v>
      </c>
      <c r="L10" s="34">
        <v>0.55000000000000004</v>
      </c>
      <c r="M10" s="34">
        <v>0.55000000000000004</v>
      </c>
      <c r="N10" s="34">
        <v>0.55000000000000004</v>
      </c>
    </row>
    <row r="11" spans="1:14" ht="15" x14ac:dyDescent="0.25">
      <c r="B11" s="3" t="s">
        <v>19</v>
      </c>
      <c r="C11" s="34">
        <v>0.7</v>
      </c>
      <c r="D11" s="34">
        <v>0.7</v>
      </c>
      <c r="E11" s="34">
        <v>0.7</v>
      </c>
      <c r="F11" s="34">
        <v>0.7</v>
      </c>
      <c r="G11" s="34">
        <v>0.7</v>
      </c>
      <c r="H11" s="34">
        <v>0.7</v>
      </c>
      <c r="I11" s="34">
        <v>0.7</v>
      </c>
      <c r="J11" s="34">
        <v>0.7</v>
      </c>
      <c r="K11" s="34">
        <v>0.7</v>
      </c>
      <c r="L11" s="34">
        <v>0.7</v>
      </c>
      <c r="M11" s="34">
        <v>0.7</v>
      </c>
      <c r="N11" s="34">
        <v>0.7</v>
      </c>
    </row>
    <row r="12" spans="1:14" ht="15" x14ac:dyDescent="0.25">
      <c r="B12" s="3" t="s">
        <v>19</v>
      </c>
      <c r="C12" s="34">
        <v>0.8</v>
      </c>
      <c r="D12" s="34">
        <v>0.8</v>
      </c>
      <c r="E12" s="34">
        <v>0.8</v>
      </c>
      <c r="F12" s="34">
        <v>0.8</v>
      </c>
      <c r="G12" s="34">
        <v>0.8</v>
      </c>
      <c r="H12" s="34">
        <v>0.8</v>
      </c>
      <c r="I12" s="34">
        <v>0.8</v>
      </c>
      <c r="J12" s="34">
        <v>0.8</v>
      </c>
      <c r="K12" s="34">
        <v>0.8</v>
      </c>
      <c r="L12" s="34">
        <v>0.8</v>
      </c>
      <c r="M12" s="34">
        <v>0.8</v>
      </c>
      <c r="N12" s="34">
        <v>0.8</v>
      </c>
    </row>
    <row r="14" spans="1:14" ht="15" x14ac:dyDescent="0.25">
      <c r="B14" s="3" t="s">
        <v>27</v>
      </c>
      <c r="C14" s="36">
        <v>31250</v>
      </c>
      <c r="D14" s="36">
        <v>31250</v>
      </c>
      <c r="E14" s="36">
        <v>31250</v>
      </c>
      <c r="F14" s="36">
        <v>31250</v>
      </c>
      <c r="G14" s="36">
        <v>31250</v>
      </c>
      <c r="H14" s="36">
        <v>31250</v>
      </c>
      <c r="I14" s="36">
        <v>31250</v>
      </c>
      <c r="J14" s="36">
        <v>31250</v>
      </c>
      <c r="K14" s="36">
        <v>31250</v>
      </c>
      <c r="L14" s="36">
        <v>31250</v>
      </c>
      <c r="M14" s="36">
        <v>31250</v>
      </c>
      <c r="N14" s="36">
        <v>31250</v>
      </c>
    </row>
    <row r="15" spans="1:14" ht="15" x14ac:dyDescent="0.25">
      <c r="B15" s="3" t="s">
        <v>27</v>
      </c>
      <c r="C15" s="36">
        <v>37500</v>
      </c>
      <c r="D15" s="36">
        <v>37500</v>
      </c>
      <c r="E15" s="36">
        <v>37500</v>
      </c>
      <c r="F15" s="36">
        <v>37500</v>
      </c>
      <c r="G15" s="36">
        <v>37500</v>
      </c>
      <c r="H15" s="36">
        <v>37500</v>
      </c>
      <c r="I15" s="36">
        <v>37500</v>
      </c>
      <c r="J15" s="36">
        <v>37500</v>
      </c>
      <c r="K15" s="36">
        <v>37500</v>
      </c>
      <c r="L15" s="36">
        <v>37500</v>
      </c>
      <c r="M15" s="36">
        <v>37500</v>
      </c>
      <c r="N15" s="36">
        <v>37500</v>
      </c>
    </row>
    <row r="16" spans="1:14" ht="15" x14ac:dyDescent="0.25">
      <c r="B16" s="3" t="s">
        <v>27</v>
      </c>
      <c r="C16" s="36">
        <v>43750</v>
      </c>
      <c r="D16" s="36">
        <v>43750</v>
      </c>
      <c r="E16" s="36">
        <v>43750</v>
      </c>
      <c r="F16" s="36">
        <v>43750</v>
      </c>
      <c r="G16" s="36">
        <v>43750</v>
      </c>
      <c r="H16" s="36">
        <v>43750</v>
      </c>
      <c r="I16" s="36">
        <v>43750</v>
      </c>
      <c r="J16" s="36">
        <v>43750</v>
      </c>
      <c r="K16" s="36">
        <v>43750</v>
      </c>
      <c r="L16" s="36">
        <v>43750</v>
      </c>
      <c r="M16" s="36">
        <v>43750</v>
      </c>
      <c r="N16" s="36">
        <v>43750</v>
      </c>
    </row>
    <row r="18" spans="2:14" ht="15" x14ac:dyDescent="0.25">
      <c r="B18" s="3" t="s">
        <v>28</v>
      </c>
      <c r="C18" s="36">
        <v>45000</v>
      </c>
      <c r="D18" s="36">
        <v>45000</v>
      </c>
      <c r="E18" s="36">
        <v>45000</v>
      </c>
      <c r="F18" s="36">
        <v>45000</v>
      </c>
      <c r="G18" s="36">
        <v>45000</v>
      </c>
      <c r="H18" s="36">
        <v>45000</v>
      </c>
      <c r="I18" s="36">
        <v>45000</v>
      </c>
      <c r="J18" s="36">
        <v>45000</v>
      </c>
      <c r="K18" s="36">
        <v>45000</v>
      </c>
      <c r="L18" s="36">
        <v>45000</v>
      </c>
      <c r="M18" s="36">
        <v>45000</v>
      </c>
      <c r="N18" s="36">
        <v>45000</v>
      </c>
    </row>
    <row r="19" spans="2:14" ht="15" x14ac:dyDescent="0.25">
      <c r="B19" s="3" t="s">
        <v>28</v>
      </c>
      <c r="C19" s="36">
        <v>62500</v>
      </c>
      <c r="D19" s="36">
        <v>62500</v>
      </c>
      <c r="E19" s="36">
        <v>62500</v>
      </c>
      <c r="F19" s="36">
        <v>62500</v>
      </c>
      <c r="G19" s="36">
        <v>62500</v>
      </c>
      <c r="H19" s="36">
        <v>62500</v>
      </c>
      <c r="I19" s="36">
        <v>62500</v>
      </c>
      <c r="J19" s="36">
        <v>62500</v>
      </c>
      <c r="K19" s="36">
        <v>62500</v>
      </c>
      <c r="L19" s="36">
        <v>62500</v>
      </c>
      <c r="M19" s="36">
        <v>62500</v>
      </c>
      <c r="N19" s="36">
        <v>62500</v>
      </c>
    </row>
    <row r="20" spans="2:14" ht="15" x14ac:dyDescent="0.25">
      <c r="B20" s="3" t="s">
        <v>28</v>
      </c>
      <c r="C20" s="36">
        <v>75000</v>
      </c>
      <c r="D20" s="36">
        <v>75000</v>
      </c>
      <c r="E20" s="36">
        <v>75000</v>
      </c>
      <c r="F20" s="36">
        <v>75000</v>
      </c>
      <c r="G20" s="36">
        <v>75000</v>
      </c>
      <c r="H20" s="36">
        <v>75000</v>
      </c>
      <c r="I20" s="36">
        <v>75000</v>
      </c>
      <c r="J20" s="36">
        <v>75000</v>
      </c>
      <c r="K20" s="36">
        <v>75000</v>
      </c>
      <c r="L20" s="36">
        <v>75000</v>
      </c>
      <c r="M20" s="36">
        <v>75000</v>
      </c>
      <c r="N20" s="36">
        <v>75000</v>
      </c>
    </row>
    <row r="22" spans="2:14" ht="15" x14ac:dyDescent="0.25">
      <c r="B22" s="3" t="s">
        <v>21</v>
      </c>
      <c r="C22" s="36">
        <v>100</v>
      </c>
      <c r="D22" s="36">
        <v>100</v>
      </c>
      <c r="E22" s="36">
        <v>100</v>
      </c>
      <c r="F22" s="36">
        <v>100</v>
      </c>
      <c r="G22" s="36">
        <v>100</v>
      </c>
      <c r="H22" s="36">
        <v>100</v>
      </c>
      <c r="I22" s="36">
        <v>100</v>
      </c>
      <c r="J22" s="36">
        <v>100</v>
      </c>
      <c r="K22" s="36">
        <v>100</v>
      </c>
      <c r="L22" s="36">
        <v>100</v>
      </c>
      <c r="M22" s="36">
        <v>100</v>
      </c>
      <c r="N22" s="36">
        <v>100</v>
      </c>
    </row>
    <row r="23" spans="2:14" ht="15" x14ac:dyDescent="0.25">
      <c r="B23" s="3" t="s">
        <v>21</v>
      </c>
      <c r="C23" s="36">
        <v>120</v>
      </c>
      <c r="D23" s="36">
        <v>120</v>
      </c>
      <c r="E23" s="36">
        <v>120</v>
      </c>
      <c r="F23" s="36">
        <v>120</v>
      </c>
      <c r="G23" s="36">
        <v>120</v>
      </c>
      <c r="H23" s="36">
        <v>120</v>
      </c>
      <c r="I23" s="36">
        <v>120</v>
      </c>
      <c r="J23" s="36">
        <v>120</v>
      </c>
      <c r="K23" s="36">
        <v>120</v>
      </c>
      <c r="L23" s="36">
        <v>120</v>
      </c>
      <c r="M23" s="36">
        <v>120</v>
      </c>
      <c r="N23" s="36">
        <v>120</v>
      </c>
    </row>
    <row r="24" spans="2:14" ht="15" x14ac:dyDescent="0.25">
      <c r="B24" s="3" t="s">
        <v>21</v>
      </c>
      <c r="C24" s="36">
        <v>135</v>
      </c>
      <c r="D24" s="36">
        <v>135</v>
      </c>
      <c r="E24" s="36">
        <v>135</v>
      </c>
      <c r="F24" s="36">
        <v>135</v>
      </c>
      <c r="G24" s="36">
        <v>135</v>
      </c>
      <c r="H24" s="36">
        <v>135</v>
      </c>
      <c r="I24" s="36">
        <v>135</v>
      </c>
      <c r="J24" s="36">
        <v>135</v>
      </c>
      <c r="K24" s="36">
        <v>135</v>
      </c>
      <c r="L24" s="36">
        <v>135</v>
      </c>
      <c r="M24" s="36">
        <v>135</v>
      </c>
      <c r="N24" s="36">
        <v>135</v>
      </c>
    </row>
    <row r="26" spans="2:14" ht="15" x14ac:dyDescent="0.25">
      <c r="B26" s="3" t="s">
        <v>22</v>
      </c>
      <c r="C26" s="36">
        <v>1800</v>
      </c>
      <c r="D26" s="36">
        <v>1800</v>
      </c>
      <c r="E26" s="36">
        <v>1800</v>
      </c>
      <c r="F26" s="36">
        <v>1800</v>
      </c>
      <c r="G26" s="36">
        <v>1800</v>
      </c>
      <c r="H26" s="36">
        <v>1800</v>
      </c>
      <c r="I26" s="36">
        <v>1800</v>
      </c>
      <c r="J26" s="36">
        <v>1800</v>
      </c>
      <c r="K26" s="36">
        <v>1800</v>
      </c>
      <c r="L26" s="36">
        <v>1800</v>
      </c>
      <c r="M26" s="36">
        <v>1800</v>
      </c>
      <c r="N26" s="36">
        <v>1800</v>
      </c>
    </row>
    <row r="27" spans="2:14" ht="15" x14ac:dyDescent="0.25">
      <c r="B27" s="3" t="s">
        <v>22</v>
      </c>
      <c r="C27" s="36">
        <v>2500</v>
      </c>
      <c r="D27" s="36">
        <v>2500</v>
      </c>
      <c r="E27" s="36">
        <v>2500</v>
      </c>
      <c r="F27" s="36">
        <v>2500</v>
      </c>
      <c r="G27" s="36">
        <v>2500</v>
      </c>
      <c r="H27" s="36">
        <v>2500</v>
      </c>
      <c r="I27" s="36">
        <v>2500</v>
      </c>
      <c r="J27" s="36">
        <v>2500</v>
      </c>
      <c r="K27" s="36">
        <v>2500</v>
      </c>
      <c r="L27" s="36">
        <v>2500</v>
      </c>
      <c r="M27" s="36">
        <v>2500</v>
      </c>
      <c r="N27" s="36">
        <v>2500</v>
      </c>
    </row>
    <row r="28" spans="2:14" ht="15" x14ac:dyDescent="0.25">
      <c r="B28" s="3" t="s">
        <v>22</v>
      </c>
      <c r="C28" s="36">
        <v>3000</v>
      </c>
      <c r="D28" s="36">
        <v>3000</v>
      </c>
      <c r="E28" s="36">
        <v>3000</v>
      </c>
      <c r="F28" s="36">
        <v>3000</v>
      </c>
      <c r="G28" s="36">
        <v>3000</v>
      </c>
      <c r="H28" s="36">
        <v>3000</v>
      </c>
      <c r="I28" s="36">
        <v>3000</v>
      </c>
      <c r="J28" s="36">
        <v>3000</v>
      </c>
      <c r="K28" s="36">
        <v>3000</v>
      </c>
      <c r="L28" s="36">
        <v>3000</v>
      </c>
      <c r="M28" s="36">
        <v>3000</v>
      </c>
      <c r="N28" s="36">
        <v>3000</v>
      </c>
    </row>
    <row r="30" spans="2:14" ht="15" x14ac:dyDescent="0.25">
      <c r="B30" s="3" t="s">
        <v>31</v>
      </c>
      <c r="C30" s="9">
        <v>70</v>
      </c>
      <c r="D30" s="9">
        <v>70</v>
      </c>
      <c r="E30" s="9">
        <v>70</v>
      </c>
      <c r="F30" s="9">
        <v>70</v>
      </c>
      <c r="G30" s="9">
        <v>70</v>
      </c>
      <c r="H30" s="9">
        <v>70</v>
      </c>
      <c r="I30" s="9">
        <v>70</v>
      </c>
      <c r="J30" s="9">
        <v>70</v>
      </c>
      <c r="K30" s="9">
        <v>70</v>
      </c>
      <c r="L30" s="9">
        <v>70</v>
      </c>
      <c r="M30" s="9">
        <v>70</v>
      </c>
      <c r="N30" s="9">
        <v>70</v>
      </c>
    </row>
    <row r="31" spans="2:14" ht="15" x14ac:dyDescent="0.25">
      <c r="B31" s="3" t="s">
        <v>31</v>
      </c>
      <c r="C31" s="9">
        <v>87</v>
      </c>
      <c r="D31" s="9">
        <v>87</v>
      </c>
      <c r="E31" s="9">
        <v>87</v>
      </c>
      <c r="F31" s="9">
        <v>87</v>
      </c>
      <c r="G31" s="9">
        <v>87</v>
      </c>
      <c r="H31" s="9">
        <v>87</v>
      </c>
      <c r="I31" s="9">
        <v>87</v>
      </c>
      <c r="J31" s="9">
        <v>87</v>
      </c>
      <c r="K31" s="9">
        <v>87</v>
      </c>
      <c r="L31" s="9">
        <v>87</v>
      </c>
      <c r="M31" s="9">
        <v>87</v>
      </c>
      <c r="N31" s="9">
        <v>87</v>
      </c>
    </row>
    <row r="32" spans="2:14" ht="15" x14ac:dyDescent="0.25">
      <c r="B32" s="3" t="s">
        <v>31</v>
      </c>
      <c r="C32" s="9">
        <v>115</v>
      </c>
      <c r="D32" s="9">
        <v>115</v>
      </c>
      <c r="E32" s="9">
        <v>115</v>
      </c>
      <c r="F32" s="9">
        <v>115</v>
      </c>
      <c r="G32" s="9">
        <v>115</v>
      </c>
      <c r="H32" s="9">
        <v>115</v>
      </c>
      <c r="I32" s="9">
        <v>115</v>
      </c>
      <c r="J32" s="9">
        <v>115</v>
      </c>
      <c r="K32" s="9">
        <v>115</v>
      </c>
      <c r="L32" s="9">
        <v>115</v>
      </c>
      <c r="M32" s="9">
        <v>115</v>
      </c>
      <c r="N32" s="9">
        <v>115</v>
      </c>
    </row>
    <row r="34" spans="2:14" ht="15" x14ac:dyDescent="0.25">
      <c r="B34" s="3" t="s">
        <v>33</v>
      </c>
      <c r="C34" s="34">
        <v>0.15</v>
      </c>
      <c r="D34" s="34">
        <v>0.15</v>
      </c>
      <c r="E34" s="34">
        <v>0.15</v>
      </c>
      <c r="F34" s="34">
        <v>0.15</v>
      </c>
      <c r="G34" s="34">
        <v>0.15</v>
      </c>
      <c r="H34" s="34">
        <v>0.15</v>
      </c>
      <c r="I34" s="34">
        <v>0.15</v>
      </c>
      <c r="J34" s="34">
        <v>0.15</v>
      </c>
      <c r="K34" s="34">
        <v>0.15</v>
      </c>
      <c r="L34" s="34">
        <v>0.15</v>
      </c>
      <c r="M34" s="34">
        <v>0.15</v>
      </c>
      <c r="N34" s="34">
        <v>0.15</v>
      </c>
    </row>
    <row r="35" spans="2:14" ht="15" x14ac:dyDescent="0.25">
      <c r="B35" s="3" t="s">
        <v>33</v>
      </c>
      <c r="C35" s="34">
        <v>0.2</v>
      </c>
      <c r="D35" s="34">
        <v>0.2</v>
      </c>
      <c r="E35" s="34">
        <v>0.2</v>
      </c>
      <c r="F35" s="34">
        <v>0.2</v>
      </c>
      <c r="G35" s="34">
        <v>0.2</v>
      </c>
      <c r="H35" s="34">
        <v>0.2</v>
      </c>
      <c r="I35" s="34">
        <v>0.2</v>
      </c>
      <c r="J35" s="34">
        <v>0.2</v>
      </c>
      <c r="K35" s="34">
        <v>0.2</v>
      </c>
      <c r="L35" s="34">
        <v>0.2</v>
      </c>
      <c r="M35" s="34">
        <v>0.2</v>
      </c>
      <c r="N35" s="34">
        <v>0.2</v>
      </c>
    </row>
    <row r="36" spans="2:14" ht="15" x14ac:dyDescent="0.25">
      <c r="B36" s="3" t="s">
        <v>33</v>
      </c>
      <c r="C36" s="34">
        <v>0.3</v>
      </c>
      <c r="D36" s="34">
        <v>0.3</v>
      </c>
      <c r="E36" s="34">
        <v>0.3</v>
      </c>
      <c r="F36" s="34">
        <v>0.3</v>
      </c>
      <c r="G36" s="34">
        <v>0.3</v>
      </c>
      <c r="H36" s="34">
        <v>0.3</v>
      </c>
      <c r="I36" s="34">
        <v>0.3</v>
      </c>
      <c r="J36" s="34">
        <v>0.3</v>
      </c>
      <c r="K36" s="34">
        <v>0.3</v>
      </c>
      <c r="L36" s="34">
        <v>0.3</v>
      </c>
      <c r="M36" s="34">
        <v>0.3</v>
      </c>
      <c r="N36" s="34">
        <v>0.3</v>
      </c>
    </row>
    <row r="37" spans="2:14" ht="15" x14ac:dyDescent="0.25">
      <c r="B37" s="3"/>
    </row>
    <row r="38" spans="2:14" ht="15" x14ac:dyDescent="0.25">
      <c r="B38" s="3" t="s">
        <v>36</v>
      </c>
      <c r="C38" s="36">
        <f t="shared" ref="C38:N38" si="0">C14*4</f>
        <v>125000</v>
      </c>
      <c r="D38" s="36">
        <f t="shared" si="0"/>
        <v>125000</v>
      </c>
      <c r="E38" s="36">
        <f t="shared" si="0"/>
        <v>125000</v>
      </c>
      <c r="F38" s="36">
        <f t="shared" si="0"/>
        <v>125000</v>
      </c>
      <c r="G38" s="36">
        <f t="shared" si="0"/>
        <v>125000</v>
      </c>
      <c r="H38" s="36">
        <f t="shared" si="0"/>
        <v>125000</v>
      </c>
      <c r="I38" s="36">
        <f t="shared" si="0"/>
        <v>125000</v>
      </c>
      <c r="J38" s="36">
        <f t="shared" si="0"/>
        <v>125000</v>
      </c>
      <c r="K38" s="36">
        <f t="shared" si="0"/>
        <v>125000</v>
      </c>
      <c r="L38" s="36">
        <f t="shared" si="0"/>
        <v>125000</v>
      </c>
      <c r="M38" s="36">
        <f t="shared" si="0"/>
        <v>125000</v>
      </c>
      <c r="N38" s="36">
        <f t="shared" si="0"/>
        <v>125000</v>
      </c>
    </row>
    <row r="39" spans="2:14" ht="15" x14ac:dyDescent="0.25">
      <c r="B39" s="3" t="s">
        <v>36</v>
      </c>
      <c r="C39" s="36">
        <f t="shared" ref="C39:F40" si="1">C15*4</f>
        <v>150000</v>
      </c>
      <c r="D39" s="36">
        <f t="shared" si="1"/>
        <v>150000</v>
      </c>
      <c r="E39" s="36">
        <f t="shared" si="1"/>
        <v>150000</v>
      </c>
      <c r="F39" s="36">
        <f t="shared" si="1"/>
        <v>150000</v>
      </c>
      <c r="G39" s="36">
        <f t="shared" ref="G39:N40" si="2">G15*4</f>
        <v>150000</v>
      </c>
      <c r="H39" s="36">
        <f t="shared" si="2"/>
        <v>150000</v>
      </c>
      <c r="I39" s="36">
        <f t="shared" si="2"/>
        <v>150000</v>
      </c>
      <c r="J39" s="36">
        <f t="shared" si="2"/>
        <v>150000</v>
      </c>
      <c r="K39" s="36">
        <f t="shared" si="2"/>
        <v>150000</v>
      </c>
      <c r="L39" s="36">
        <f t="shared" si="2"/>
        <v>150000</v>
      </c>
      <c r="M39" s="36">
        <f t="shared" si="2"/>
        <v>150000</v>
      </c>
      <c r="N39" s="36">
        <f t="shared" si="2"/>
        <v>150000</v>
      </c>
    </row>
    <row r="40" spans="2:14" ht="15" x14ac:dyDescent="0.25">
      <c r="B40" s="3" t="s">
        <v>36</v>
      </c>
      <c r="C40" s="36">
        <f t="shared" si="1"/>
        <v>175000</v>
      </c>
      <c r="D40" s="36">
        <f t="shared" si="1"/>
        <v>175000</v>
      </c>
      <c r="E40" s="36">
        <f t="shared" si="1"/>
        <v>175000</v>
      </c>
      <c r="F40" s="36">
        <f t="shared" si="1"/>
        <v>175000</v>
      </c>
      <c r="G40" s="36">
        <f t="shared" si="2"/>
        <v>175000</v>
      </c>
      <c r="H40" s="36">
        <f t="shared" si="2"/>
        <v>175000</v>
      </c>
      <c r="I40" s="36">
        <f t="shared" si="2"/>
        <v>175000</v>
      </c>
      <c r="J40" s="36">
        <f t="shared" si="2"/>
        <v>175000</v>
      </c>
      <c r="K40" s="36">
        <f t="shared" si="2"/>
        <v>175000</v>
      </c>
      <c r="L40" s="36">
        <f t="shared" si="2"/>
        <v>175000</v>
      </c>
      <c r="M40" s="36">
        <f t="shared" si="2"/>
        <v>175000</v>
      </c>
      <c r="N40" s="36">
        <f t="shared" si="2"/>
        <v>175000</v>
      </c>
    </row>
    <row r="41" spans="2:14" x14ac:dyDescent="0.2">
      <c r="G41" s="35"/>
      <c r="H41" s="35"/>
      <c r="I41" s="35"/>
      <c r="J41" s="35"/>
      <c r="K41" s="35"/>
      <c r="L41" s="35"/>
      <c r="M41" s="35"/>
      <c r="N41" s="35"/>
    </row>
    <row r="42" spans="2:14" ht="15" x14ac:dyDescent="0.25">
      <c r="B42" s="3" t="s">
        <v>37</v>
      </c>
      <c r="C42" s="37">
        <f t="shared" ref="C42:N42" si="3">C18*4</f>
        <v>180000</v>
      </c>
      <c r="D42" s="37">
        <f t="shared" si="3"/>
        <v>180000</v>
      </c>
      <c r="E42" s="37">
        <f t="shared" si="3"/>
        <v>180000</v>
      </c>
      <c r="F42" s="37">
        <f t="shared" si="3"/>
        <v>180000</v>
      </c>
      <c r="G42" s="37">
        <f t="shared" si="3"/>
        <v>180000</v>
      </c>
      <c r="H42" s="37">
        <f t="shared" si="3"/>
        <v>180000</v>
      </c>
      <c r="I42" s="37">
        <f t="shared" si="3"/>
        <v>180000</v>
      </c>
      <c r="J42" s="37">
        <f t="shared" si="3"/>
        <v>180000</v>
      </c>
      <c r="K42" s="37">
        <f t="shared" si="3"/>
        <v>180000</v>
      </c>
      <c r="L42" s="37">
        <f t="shared" si="3"/>
        <v>180000</v>
      </c>
      <c r="M42" s="37">
        <f t="shared" si="3"/>
        <v>180000</v>
      </c>
      <c r="N42" s="37">
        <f t="shared" si="3"/>
        <v>180000</v>
      </c>
    </row>
    <row r="43" spans="2:14" ht="15" x14ac:dyDescent="0.25">
      <c r="B43" s="3" t="s">
        <v>37</v>
      </c>
      <c r="C43" s="37">
        <f t="shared" ref="C43:N43" si="4">C19*4</f>
        <v>250000</v>
      </c>
      <c r="D43" s="37">
        <f t="shared" si="4"/>
        <v>250000</v>
      </c>
      <c r="E43" s="37">
        <f t="shared" si="4"/>
        <v>250000</v>
      </c>
      <c r="F43" s="37">
        <f t="shared" si="4"/>
        <v>250000</v>
      </c>
      <c r="G43" s="37">
        <f t="shared" si="4"/>
        <v>250000</v>
      </c>
      <c r="H43" s="37">
        <f t="shared" si="4"/>
        <v>250000</v>
      </c>
      <c r="I43" s="37">
        <f t="shared" si="4"/>
        <v>250000</v>
      </c>
      <c r="J43" s="37">
        <f t="shared" si="4"/>
        <v>250000</v>
      </c>
      <c r="K43" s="37">
        <f t="shared" si="4"/>
        <v>250000</v>
      </c>
      <c r="L43" s="37">
        <f t="shared" si="4"/>
        <v>250000</v>
      </c>
      <c r="M43" s="37">
        <f t="shared" si="4"/>
        <v>250000</v>
      </c>
      <c r="N43" s="37">
        <f t="shared" si="4"/>
        <v>250000</v>
      </c>
    </row>
    <row r="44" spans="2:14" ht="15" x14ac:dyDescent="0.25">
      <c r="B44" s="3" t="s">
        <v>37</v>
      </c>
      <c r="C44" s="37">
        <f t="shared" ref="C44:N44" si="5">C20*4</f>
        <v>300000</v>
      </c>
      <c r="D44" s="37">
        <f t="shared" si="5"/>
        <v>300000</v>
      </c>
      <c r="E44" s="37">
        <f t="shared" si="5"/>
        <v>300000</v>
      </c>
      <c r="F44" s="37">
        <f t="shared" si="5"/>
        <v>300000</v>
      </c>
      <c r="G44" s="37">
        <f t="shared" si="5"/>
        <v>300000</v>
      </c>
      <c r="H44" s="37">
        <f t="shared" si="5"/>
        <v>300000</v>
      </c>
      <c r="I44" s="37">
        <f t="shared" si="5"/>
        <v>300000</v>
      </c>
      <c r="J44" s="37">
        <f t="shared" si="5"/>
        <v>300000</v>
      </c>
      <c r="K44" s="37">
        <f t="shared" si="5"/>
        <v>300000</v>
      </c>
      <c r="L44" s="37">
        <f t="shared" si="5"/>
        <v>300000</v>
      </c>
      <c r="M44" s="37">
        <f t="shared" si="5"/>
        <v>300000</v>
      </c>
      <c r="N44" s="37">
        <f t="shared" si="5"/>
        <v>300000</v>
      </c>
    </row>
    <row r="46" spans="2:14" ht="15" x14ac:dyDescent="0.25">
      <c r="B46" s="3" t="s">
        <v>38</v>
      </c>
      <c r="C46" s="37">
        <f>IFERROR('SmartNumbers2024-2025'!B22*4,0)</f>
        <v>771315.63294117653</v>
      </c>
      <c r="D46" s="37">
        <f>IFERROR('SmartNumbers2024-2025'!C22*4,0)</f>
        <v>705205.23294117651</v>
      </c>
      <c r="E46" s="37">
        <f>IFERROR('SmartNumbers2024-2025'!D22*4,0)</f>
        <v>720067.85882352933</v>
      </c>
      <c r="F46" s="37">
        <f>IFERROR('SmartNumbers2024-2025'!E22*4,0)</f>
        <v>808233.31764705887</v>
      </c>
      <c r="G46" s="37">
        <f>IFERROR('SmartNumbers2024-2025'!F22*4,0)</f>
        <v>883271.84941176465</v>
      </c>
      <c r="H46" s="37">
        <f>IFERROR('SmartNumbers2024-2025'!G22*4,0)</f>
        <v>818893.30823529407</v>
      </c>
      <c r="I46" s="37">
        <f>IFERROR('SmartNumbers2024-2025'!H22*4,0)</f>
        <v>809157.53142857144</v>
      </c>
      <c r="J46" s="37">
        <f>IFERROR('SmartNumbers2024-2025'!I22*4,0)</f>
        <v>806614.19294117636</v>
      </c>
      <c r="K46" s="37">
        <f>IFERROR('SmartNumbers2024-2025'!J23*4,0)</f>
        <v>0.1888</v>
      </c>
      <c r="L46" s="37">
        <f>IFERROR('SmartNumbers2024-2025'!K23*4,0)</f>
        <v>8068</v>
      </c>
      <c r="M46" s="37">
        <f>IFERROR('SmartNumbers2024-2025'!L22*4,0)</f>
        <v>0</v>
      </c>
      <c r="N46" s="37">
        <f>IFERROR('SmartNumbers2024-2025'!M22*4,0)</f>
        <v>0</v>
      </c>
    </row>
    <row r="47" spans="2:14" ht="15" x14ac:dyDescent="0.25">
      <c r="B47" s="3" t="s">
        <v>39</v>
      </c>
      <c r="C47" s="37">
        <f>IFERROR('SmartNumbers2024-2025'!B23*4,0)</f>
        <v>1192033.250909091</v>
      </c>
      <c r="D47" s="37">
        <f>IFERROR('SmartNumbers2024-2025'!C23*4,0)</f>
        <v>1089862.6327272728</v>
      </c>
      <c r="E47" s="37">
        <f>IFERROR('SmartNumbers2024-2025'!D23*4,0)</f>
        <v>1112832.1454545453</v>
      </c>
      <c r="F47" s="37">
        <f>IFERROR('SmartNumbers2024-2025'!E23*4,0)</f>
        <v>1249087.8545454545</v>
      </c>
      <c r="G47" s="37">
        <f>IFERROR('SmartNumbers2024-2025'!F23*4,0)</f>
        <v>1365056.4945454544</v>
      </c>
      <c r="H47" s="37">
        <f>IFERROR('SmartNumbers2024-2025'!G23*4,0)</f>
        <v>1024520.6399999999</v>
      </c>
      <c r="I47" s="37">
        <f>IFERROR('SmartNumbers2024-2025'!H23*4,0)</f>
        <v>1101906.4567741936</v>
      </c>
      <c r="J47" s="37">
        <f>IFERROR('SmartNumbers2024-2025'!I23*4,0)</f>
        <v>1138833.0763636364</v>
      </c>
      <c r="K47" s="37">
        <f>IFERROR('SmartNumbers2024-2025'!#REF!*4,0)</f>
        <v>0</v>
      </c>
      <c r="L47" s="37">
        <f>IFERROR('SmartNumbers2024-2025'!#REF!*4,0)</f>
        <v>0</v>
      </c>
      <c r="M47" s="37">
        <f>IFERROR('SmartNumbers2024-2025'!L23*4,0)</f>
        <v>0</v>
      </c>
      <c r="N47" s="37">
        <f>IFERROR('SmartNumbers2024-2025'!M23*4,0)</f>
        <v>0</v>
      </c>
    </row>
    <row r="50" spans="2:14" ht="15" x14ac:dyDescent="0.25">
      <c r="B50" s="3" t="s">
        <v>55</v>
      </c>
      <c r="C50" s="3"/>
      <c r="D50" s="3"/>
      <c r="E50" s="3"/>
      <c r="F50" s="3"/>
      <c r="G50" s="3"/>
      <c r="H50" s="3"/>
      <c r="I50" s="3"/>
      <c r="J50" s="3"/>
      <c r="K50" s="3"/>
      <c r="L50" s="3"/>
      <c r="M50" s="3"/>
      <c r="N50" s="3"/>
    </row>
    <row r="51" spans="2:14" ht="15" x14ac:dyDescent="0.25">
      <c r="B51" s="16" t="s">
        <v>34</v>
      </c>
      <c r="C51" s="32">
        <f>IFERROR(4*'SmartNumbers2024-2025'!B22,0)</f>
        <v>771315.63294117653</v>
      </c>
      <c r="D51" s="32">
        <f>IFERROR(4*'SmartNumbers2024-2025'!C22,0)</f>
        <v>705205.23294117651</v>
      </c>
      <c r="E51" s="32">
        <f>IFERROR(4*'SmartNumbers2024-2025'!D22,0)</f>
        <v>720067.85882352933</v>
      </c>
      <c r="F51" s="32">
        <f>IFERROR(4*'SmartNumbers2024-2025'!E22,0)</f>
        <v>808233.31764705887</v>
      </c>
      <c r="G51" s="32">
        <f>IFERROR(4*'SmartNumbers2024-2025'!F22,0)</f>
        <v>883271.84941176465</v>
      </c>
      <c r="H51" s="32">
        <f>IFERROR(4*'SmartNumbers2024-2025'!G22,0)</f>
        <v>818893.30823529407</v>
      </c>
      <c r="I51" s="32">
        <f>IFERROR(4*'SmartNumbers2024-2025'!H22,0)</f>
        <v>809157.53142857144</v>
      </c>
      <c r="J51" s="32">
        <f>IFERROR(4*'SmartNumbers2024-2025'!I22,0)</f>
        <v>806614.19294117636</v>
      </c>
      <c r="K51" s="32">
        <f>IFERROR(4*'SmartNumbers2024-2025'!J23,0)</f>
        <v>0.1888</v>
      </c>
      <c r="L51" s="32">
        <f>IFERROR(4*'SmartNumbers2024-2025'!K23,0)</f>
        <v>8068</v>
      </c>
      <c r="M51" s="32">
        <f>IFERROR(4*'SmartNumbers2024-2025'!L22,0)</f>
        <v>0</v>
      </c>
      <c r="N51" s="32">
        <f>IFERROR(4*'SmartNumbers2024-2025'!M22,0)</f>
        <v>0</v>
      </c>
    </row>
    <row r="52" spans="2:14" ht="15" x14ac:dyDescent="0.25">
      <c r="B52" s="16" t="s">
        <v>35</v>
      </c>
      <c r="C52" s="32">
        <f>IFERROR(4*'SmartNumbers2024-2025'!B23,0)</f>
        <v>1192033.250909091</v>
      </c>
      <c r="D52" s="32">
        <f>IFERROR(4*'SmartNumbers2024-2025'!C23,0)</f>
        <v>1089862.6327272728</v>
      </c>
      <c r="E52" s="32">
        <f>IFERROR(4*'SmartNumbers2024-2025'!D23,0)</f>
        <v>1112832.1454545453</v>
      </c>
      <c r="F52" s="32">
        <f>IFERROR(4*'SmartNumbers2024-2025'!E23,0)</f>
        <v>1249087.8545454545</v>
      </c>
      <c r="G52" s="32">
        <f>IFERROR(4*'SmartNumbers2024-2025'!F23,0)</f>
        <v>1365056.4945454544</v>
      </c>
      <c r="H52" s="32">
        <f>IFERROR(4*'SmartNumbers2024-2025'!G23,0)</f>
        <v>1024520.6399999999</v>
      </c>
      <c r="I52" s="32">
        <f>IFERROR(4*'SmartNumbers2024-2025'!H23,0)</f>
        <v>1101906.4567741936</v>
      </c>
      <c r="J52" s="32">
        <f>IFERROR(4*'SmartNumbers2024-2025'!I23,0)</f>
        <v>1138833.0763636364</v>
      </c>
      <c r="K52" s="32">
        <f>IFERROR(4*'SmartNumbers2024-2025'!#REF!,0)</f>
        <v>0</v>
      </c>
      <c r="L52" s="32">
        <f>IFERROR(4*'SmartNumbers2024-2025'!#REF!,0)</f>
        <v>0</v>
      </c>
      <c r="M52" s="32">
        <f>IFERROR(4*'SmartNumbers2024-2025'!L23,0)</f>
        <v>0</v>
      </c>
      <c r="N52" s="32">
        <f>IFERROR(4*'SmartNumbers2024-2025'!M23,0)</f>
        <v>0</v>
      </c>
    </row>
    <row r="53" spans="2:14" ht="15" x14ac:dyDescent="0.25">
      <c r="B53" s="3"/>
      <c r="C53" s="3"/>
      <c r="D53" s="3"/>
      <c r="E53" s="3"/>
      <c r="F53" s="3"/>
      <c r="G53" s="3"/>
      <c r="H53" s="3"/>
      <c r="I53" s="3"/>
      <c r="J53" s="3"/>
      <c r="K53" s="3"/>
      <c r="L53" s="3"/>
      <c r="M53" s="3"/>
      <c r="N53" s="3"/>
    </row>
    <row r="54" spans="2:14" ht="15" x14ac:dyDescent="0.25">
      <c r="B54" s="3" t="s">
        <v>58</v>
      </c>
      <c r="C54" s="3">
        <v>175000</v>
      </c>
      <c r="D54" s="3">
        <v>175000</v>
      </c>
      <c r="E54" s="3">
        <v>175000</v>
      </c>
      <c r="F54" s="3">
        <v>175000</v>
      </c>
      <c r="G54" s="3">
        <v>175000</v>
      </c>
      <c r="H54" s="3">
        <v>175000</v>
      </c>
      <c r="I54" s="3">
        <v>175000</v>
      </c>
      <c r="J54" s="3">
        <v>175000</v>
      </c>
      <c r="K54" s="3">
        <v>175000</v>
      </c>
      <c r="L54" s="3">
        <v>175000</v>
      </c>
      <c r="M54" s="3">
        <v>175000</v>
      </c>
      <c r="N54" s="3">
        <v>175000</v>
      </c>
    </row>
    <row r="55" spans="2:14" ht="15" x14ac:dyDescent="0.25">
      <c r="B55" s="3" t="s">
        <v>57</v>
      </c>
      <c r="C55" s="3">
        <v>150000</v>
      </c>
      <c r="D55" s="3">
        <v>150000</v>
      </c>
      <c r="E55" s="3">
        <v>150000</v>
      </c>
      <c r="F55" s="3">
        <v>150000</v>
      </c>
      <c r="G55" s="3">
        <v>150000</v>
      </c>
      <c r="H55" s="3">
        <v>150000</v>
      </c>
      <c r="I55" s="3">
        <v>150000</v>
      </c>
      <c r="J55" s="3">
        <v>150000</v>
      </c>
      <c r="K55" s="3">
        <v>150000</v>
      </c>
      <c r="L55" s="3">
        <v>150000</v>
      </c>
      <c r="M55" s="3">
        <v>150000</v>
      </c>
      <c r="N55" s="3">
        <v>150000</v>
      </c>
    </row>
    <row r="56" spans="2:14" ht="15" x14ac:dyDescent="0.25">
      <c r="B56" s="3" t="s">
        <v>56</v>
      </c>
      <c r="C56" s="3">
        <v>125000</v>
      </c>
      <c r="D56" s="3">
        <v>125000</v>
      </c>
      <c r="E56" s="3">
        <v>125000</v>
      </c>
      <c r="F56" s="3">
        <v>125000</v>
      </c>
      <c r="G56" s="3">
        <v>125000</v>
      </c>
      <c r="H56" s="3">
        <v>125000</v>
      </c>
      <c r="I56" s="3">
        <v>125000</v>
      </c>
      <c r="J56" s="3">
        <v>125000</v>
      </c>
      <c r="K56" s="3">
        <v>125000</v>
      </c>
      <c r="L56" s="3">
        <v>125000</v>
      </c>
      <c r="M56" s="3">
        <v>125000</v>
      </c>
      <c r="N56" s="3">
        <v>125000</v>
      </c>
    </row>
    <row r="57" spans="2:14" ht="15" x14ac:dyDescent="0.25">
      <c r="B57" s="3"/>
      <c r="C57" s="3"/>
      <c r="D57" s="3"/>
      <c r="E57" s="3"/>
      <c r="F57" s="3"/>
      <c r="G57" s="3"/>
      <c r="H57" s="3"/>
    </row>
    <row r="58" spans="2:14" ht="15" x14ac:dyDescent="0.25">
      <c r="B58" s="3"/>
      <c r="C58" s="3"/>
      <c r="D58" s="3"/>
      <c r="E58" s="3"/>
      <c r="F58" s="3"/>
      <c r="G58" s="3"/>
      <c r="H58"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517F6DA0FDE6F4BA8910B5A760BE7F9" ma:contentTypeVersion="19" ma:contentTypeDescription="Create a new document." ma:contentTypeScope="" ma:versionID="ec846959942bc3df82ffd2b28d24e50c">
  <xsd:schema xmlns:xsd="http://www.w3.org/2001/XMLSchema" xmlns:xs="http://www.w3.org/2001/XMLSchema" xmlns:p="http://schemas.microsoft.com/office/2006/metadata/properties" xmlns:ns2="6cecba2d-c26a-4858-a0b4-e530b4b29229" xmlns:ns3="88faeed6-bc4f-4fd9-a6bb-851a7028462c" targetNamespace="http://schemas.microsoft.com/office/2006/metadata/properties" ma:root="true" ma:fieldsID="c1a853345e350b3e871aa812a2e32e29" ns2:_="" ns3:_="">
    <xsd:import namespace="6cecba2d-c26a-4858-a0b4-e530b4b29229"/>
    <xsd:import namespace="88faeed6-bc4f-4fd9-a6bb-851a7028462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ecba2d-c26a-4858-a0b4-e530b4b292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b6348b6-0588-46bb-87fa-3fca203e765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8faeed6-bc4f-4fd9-a6bb-851a7028462c"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b7811bf-a8dc-4e86-aae8-ebaaa80e4980}" ma:internalName="TaxCatchAll" ma:showField="CatchAllData" ma:web="88faeed6-bc4f-4fd9-a6bb-851a702846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cecba2d-c26a-4858-a0b4-e530b4b29229">
      <Terms xmlns="http://schemas.microsoft.com/office/infopath/2007/PartnerControls"/>
    </lcf76f155ced4ddcb4097134ff3c332f>
    <TaxCatchAll xmlns="88faeed6-bc4f-4fd9-a6bb-851a7028462c" xsi:nil="true"/>
  </documentManagement>
</p:properties>
</file>

<file path=customXml/itemProps1.xml><?xml version="1.0" encoding="utf-8"?>
<ds:datastoreItem xmlns:ds="http://schemas.openxmlformats.org/officeDocument/2006/customXml" ds:itemID="{685CA2C7-82BD-4B83-BAF9-BE6224724BD7}">
  <ds:schemaRefs>
    <ds:schemaRef ds:uri="http://schemas.microsoft.com/sharepoint/v3/contenttype/forms"/>
  </ds:schemaRefs>
</ds:datastoreItem>
</file>

<file path=customXml/itemProps2.xml><?xml version="1.0" encoding="utf-8"?>
<ds:datastoreItem xmlns:ds="http://schemas.openxmlformats.org/officeDocument/2006/customXml" ds:itemID="{9B425400-27EC-4D81-A3D1-E1AC2CB687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ecba2d-c26a-4858-a0b4-e530b4b29229"/>
    <ds:schemaRef ds:uri="88faeed6-bc4f-4fd9-a6bb-851a70284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EB801D-FFE0-4CB9-94F9-D44E5B586A6D}">
  <ds:schemaRefs>
    <ds:schemaRef ds:uri="http://schemas.microsoft.com/office/2006/metadata/properties"/>
    <ds:schemaRef ds:uri="http://schemas.microsoft.com/office/infopath/2007/PartnerControls"/>
    <ds:schemaRef ds:uri="6cecba2d-c26a-4858-a0b4-e530b4b29229"/>
    <ds:schemaRef ds:uri="88faeed6-bc4f-4fd9-a6bb-851a702846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vt:i4>
      </vt:variant>
    </vt:vector>
  </HeadingPairs>
  <TitlesOfParts>
    <vt:vector size="20" baseType="lpstr">
      <vt:lpstr>Instructions</vt:lpstr>
      <vt:lpstr>MonthlyINPUT</vt:lpstr>
      <vt:lpstr>QBR 2025</vt:lpstr>
      <vt:lpstr>QBRcompare</vt:lpstr>
      <vt:lpstr>SmartNumbers2025</vt:lpstr>
      <vt:lpstr>SmartNumbers2024-2025</vt:lpstr>
      <vt:lpstr>SmartNumbers2025byMonth</vt:lpstr>
      <vt:lpstr>QBR 2024</vt:lpstr>
      <vt:lpstr>2024byMonth</vt:lpstr>
      <vt:lpstr>Charts2024-2025</vt:lpstr>
      <vt:lpstr>Charts2025</vt:lpstr>
      <vt:lpstr>Charts2025byMonth</vt:lpstr>
      <vt:lpstr>Ranges</vt:lpstr>
      <vt:lpstr>'2024byMonth'!Print_Area</vt:lpstr>
      <vt:lpstr>'Charts2024-2025'!Print_Area</vt:lpstr>
      <vt:lpstr>Charts2025!Print_Area</vt:lpstr>
      <vt:lpstr>Charts2025byMonth!Print_Area</vt:lpstr>
      <vt:lpstr>'QBR 2024'!Print_Area</vt:lpstr>
      <vt:lpstr>'QBR 2025'!Print_Area</vt:lpstr>
      <vt:lpstr>QBRcompare!Print_Area</vt:lpstr>
    </vt:vector>
  </TitlesOfParts>
  <Company>TruMethods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Quarterly Business Review WorkBook</dc:title>
  <dc:creator>Gary Pica;Bob Penland</dc:creator>
  <cp:lastModifiedBy>J. Michele Miller</cp:lastModifiedBy>
  <cp:lastPrinted>2022-02-17T01:37:56Z</cp:lastPrinted>
  <dcterms:created xsi:type="dcterms:W3CDTF">2003-07-03T17:30:26Z</dcterms:created>
  <dcterms:modified xsi:type="dcterms:W3CDTF">2025-11-07T16:45:04Z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0x0101007517F6DA0FDE6F4BA8910B5A760BE7F9</vt:lpwstr>
  </property>
  <property fmtid="{D5CDD505-2E9C-101B-9397-08002B2CF9AE}" pid="3" name="MediaServiceImageTags">
    <vt:lpwstr/>
  </property>
</Properties>
</file>